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G:\course 2 final project\"/>
    </mc:Choice>
  </mc:AlternateContent>
  <xr:revisionPtr revIDLastSave="0" documentId="13_ncr:1_{260F31E7-0498-496C-8DA5-C717632B69F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sk6 Posts" sheetId="1" r:id="rId1"/>
    <sheet name="Task 6.1" sheetId="28" r:id="rId2"/>
    <sheet name="Task 6.2" sheetId="29" r:id="rId3"/>
    <sheet name="Task 6.3" sheetId="30" r:id="rId4"/>
    <sheet name="Dashboard" sheetId="31" r:id="rId5"/>
    <sheet name="task 6 Engagement Summary" sheetId="2" r:id="rId6"/>
    <sheet name="Campaign Metadata" sheetId="3" r:id="rId7"/>
    <sheet name="Post2" sheetId="7" r:id="rId8"/>
  </sheets>
  <definedNames>
    <definedName name="_xlnm._FilterDatabase" localSheetId="7" hidden="1">Post2!$A$1:$O$484</definedName>
    <definedName name="_xlnm._FilterDatabase" localSheetId="0" hidden="1">'Task6 Posts'!$A$1:$P$1</definedName>
  </definedNames>
  <calcPr calcId="191029"/>
  <pivotCaches>
    <pivotCache cacheId="7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0" l="1"/>
  <c r="L3" i="2"/>
  <c r="A5" i="28" a="1"/>
  <c r="A5" i="28" s="1"/>
  <c r="B5" i="28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2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5" i="2"/>
  <c r="I26" i="2"/>
  <c r="I27" i="2"/>
  <c r="I28" i="2"/>
  <c r="I29" i="2"/>
  <c r="I30" i="2"/>
  <c r="I31" i="2"/>
  <c r="I32" i="2"/>
  <c r="I33" i="2"/>
  <c r="I34" i="2"/>
  <c r="I15" i="2"/>
  <c r="I16" i="2"/>
  <c r="I17" i="2"/>
  <c r="I18" i="2"/>
  <c r="I19" i="2"/>
  <c r="I20" i="2"/>
  <c r="I21" i="2"/>
  <c r="I22" i="2"/>
  <c r="I23" i="2"/>
  <c r="I24" i="2"/>
  <c r="I5" i="2"/>
  <c r="I6" i="2"/>
  <c r="I7" i="2"/>
  <c r="I8" i="2"/>
  <c r="I9" i="2"/>
  <c r="I10" i="2"/>
  <c r="I11" i="2"/>
  <c r="I12" i="2"/>
  <c r="I13" i="2"/>
  <c r="I14" i="2"/>
  <c r="I3" i="2"/>
  <c r="I4" i="2"/>
  <c r="I2" i="2"/>
  <c r="P225" i="1"/>
  <c r="P187" i="1"/>
  <c r="P186" i="1"/>
  <c r="P57" i="1"/>
  <c r="P89" i="1"/>
  <c r="P197" i="1"/>
  <c r="P72" i="1"/>
  <c r="P291" i="1"/>
  <c r="P188" i="1"/>
  <c r="P38" i="1"/>
  <c r="P77" i="1"/>
  <c r="P295" i="1"/>
  <c r="P150" i="1"/>
  <c r="P68" i="1"/>
  <c r="P201" i="1"/>
  <c r="P88" i="1"/>
  <c r="P21" i="1"/>
  <c r="P91" i="1"/>
  <c r="P100" i="1"/>
  <c r="P168" i="1"/>
  <c r="P290" i="1"/>
  <c r="P87" i="1"/>
  <c r="P159" i="1"/>
  <c r="P154" i="1"/>
  <c r="P272" i="1"/>
  <c r="P183" i="1"/>
  <c r="P36" i="1"/>
  <c r="P245" i="1"/>
  <c r="P262" i="1"/>
  <c r="P203" i="1"/>
  <c r="P69" i="1"/>
  <c r="P152" i="1"/>
  <c r="P209" i="1"/>
  <c r="P270" i="1"/>
  <c r="P67" i="1"/>
  <c r="P280" i="1"/>
  <c r="P138" i="1"/>
  <c r="P181" i="1"/>
  <c r="P288" i="1"/>
  <c r="P62" i="1"/>
  <c r="P222" i="1"/>
  <c r="P232" i="1"/>
  <c r="P134" i="1"/>
  <c r="P107" i="1"/>
  <c r="P25" i="1"/>
  <c r="P39" i="1"/>
  <c r="P229" i="1"/>
  <c r="P129" i="1"/>
  <c r="P260" i="1"/>
  <c r="P76" i="1"/>
  <c r="P133" i="1"/>
  <c r="P122" i="1"/>
  <c r="P240" i="1"/>
  <c r="P71" i="1"/>
  <c r="P236" i="1"/>
  <c r="P5" i="1"/>
  <c r="P110" i="1"/>
  <c r="P120" i="1"/>
  <c r="P60" i="1"/>
  <c r="P2" i="1"/>
  <c r="P165" i="1"/>
  <c r="P102" i="1"/>
  <c r="P221" i="1"/>
  <c r="P80" i="1"/>
  <c r="P257" i="1"/>
  <c r="P51" i="1"/>
  <c r="P49" i="1"/>
  <c r="P196" i="1"/>
  <c r="P206" i="1"/>
  <c r="P7" i="1"/>
  <c r="P155" i="1"/>
  <c r="P269" i="1"/>
  <c r="P79" i="1"/>
  <c r="P15" i="1"/>
  <c r="P108" i="1"/>
  <c r="P282" i="1"/>
  <c r="P219" i="1"/>
  <c r="P10" i="1"/>
  <c r="P294" i="1"/>
  <c r="P242" i="1"/>
  <c r="P126" i="1"/>
  <c r="P204" i="1"/>
  <c r="P116" i="1"/>
  <c r="P124" i="1"/>
  <c r="P274" i="1"/>
  <c r="P63" i="1"/>
  <c r="P235" i="1"/>
  <c r="P189" i="1"/>
  <c r="P114" i="1"/>
  <c r="P263" i="1"/>
  <c r="P47" i="1"/>
  <c r="P35" i="1"/>
  <c r="P171" i="1"/>
  <c r="P46" i="1"/>
  <c r="P41" i="1"/>
  <c r="P16" i="1"/>
  <c r="P40" i="1"/>
  <c r="P158" i="1"/>
  <c r="P113" i="1"/>
  <c r="P156" i="1"/>
  <c r="P162" i="1"/>
  <c r="P27" i="1"/>
  <c r="P66" i="1"/>
  <c r="P143" i="1"/>
  <c r="P218" i="1"/>
  <c r="P212" i="1"/>
  <c r="P135" i="1"/>
  <c r="P179" i="1"/>
  <c r="P97" i="1"/>
  <c r="P112" i="1"/>
  <c r="P234" i="1"/>
  <c r="P137" i="1"/>
  <c r="P109" i="1"/>
  <c r="P256" i="1"/>
  <c r="P268" i="1"/>
  <c r="P28" i="1"/>
  <c r="P78" i="1"/>
  <c r="P283" i="1"/>
  <c r="P215" i="1"/>
  <c r="P264" i="1"/>
  <c r="P34" i="1"/>
  <c r="P75" i="1"/>
  <c r="P73" i="1"/>
  <c r="P166" i="1"/>
  <c r="P3" i="1"/>
  <c r="P18" i="1"/>
  <c r="P31" i="1"/>
  <c r="P301" i="1"/>
  <c r="P6" i="1"/>
  <c r="P247" i="1"/>
  <c r="P146" i="1"/>
  <c r="P17" i="1"/>
  <c r="P276" i="1"/>
  <c r="P148" i="1"/>
  <c r="P176" i="1"/>
  <c r="P54" i="1"/>
  <c r="P182" i="1"/>
  <c r="P244" i="1"/>
  <c r="P127" i="1"/>
  <c r="P147" i="1"/>
  <c r="P199" i="1"/>
  <c r="P93" i="1"/>
  <c r="P233" i="1"/>
  <c r="P281" i="1"/>
  <c r="P278" i="1"/>
  <c r="P14" i="1"/>
  <c r="P231" i="1"/>
  <c r="P255" i="1"/>
  <c r="P82" i="1"/>
  <c r="P121" i="1"/>
  <c r="P144" i="1"/>
  <c r="P289" i="1"/>
  <c r="P178" i="1"/>
  <c r="P64" i="1"/>
  <c r="P132" i="1"/>
  <c r="P238" i="1"/>
  <c r="P249" i="1"/>
  <c r="P58" i="1"/>
  <c r="P23" i="1"/>
  <c r="P279" i="1"/>
  <c r="P173" i="1"/>
  <c r="P118" i="1"/>
  <c r="P299" i="1"/>
  <c r="P70" i="1"/>
  <c r="P55" i="1"/>
  <c r="P223" i="1"/>
  <c r="P52" i="1"/>
  <c r="P205" i="1"/>
  <c r="P180" i="1"/>
  <c r="P131" i="1"/>
  <c r="P61" i="1"/>
  <c r="P84" i="1"/>
  <c r="P252" i="1"/>
  <c r="P251" i="1"/>
  <c r="P99" i="1"/>
  <c r="P170" i="1"/>
  <c r="P195" i="1"/>
  <c r="P177" i="1"/>
  <c r="P265" i="1"/>
  <c r="P45" i="1"/>
  <c r="P44" i="1"/>
  <c r="P115" i="1"/>
  <c r="P106" i="1"/>
  <c r="P261" i="1"/>
  <c r="P92" i="1"/>
  <c r="P277" i="1"/>
  <c r="P286" i="1"/>
  <c r="P237" i="1"/>
  <c r="P214" i="1"/>
  <c r="P32" i="1"/>
  <c r="P141" i="1"/>
  <c r="P85" i="1"/>
  <c r="P74" i="1"/>
  <c r="P12" i="1"/>
  <c r="P211" i="1"/>
  <c r="P190" i="1"/>
  <c r="P226" i="1"/>
  <c r="P105" i="1"/>
  <c r="P43" i="1"/>
  <c r="P139" i="1"/>
  <c r="P8" i="1"/>
  <c r="P149" i="1"/>
  <c r="P202" i="1"/>
  <c r="P258" i="1"/>
  <c r="P125" i="1"/>
  <c r="P56" i="1"/>
  <c r="P253" i="1"/>
  <c r="P111" i="1"/>
  <c r="P266" i="1"/>
  <c r="P59" i="1"/>
  <c r="P296" i="1"/>
  <c r="P298" i="1"/>
  <c r="P153" i="1"/>
  <c r="P213" i="1"/>
  <c r="P210" i="1"/>
  <c r="P284" i="1"/>
  <c r="P157" i="1"/>
  <c r="P24" i="1"/>
  <c r="P193" i="1"/>
  <c r="P271" i="1"/>
  <c r="P297" i="1"/>
  <c r="P94" i="1"/>
  <c r="P191" i="1"/>
  <c r="P19" i="1"/>
  <c r="P13" i="1"/>
  <c r="P250" i="1"/>
  <c r="P83" i="1"/>
  <c r="P33" i="1"/>
  <c r="P273" i="1"/>
  <c r="P50" i="1"/>
  <c r="P241" i="1"/>
  <c r="P160" i="1"/>
  <c r="P20" i="1"/>
  <c r="P136" i="1"/>
  <c r="P198" i="1"/>
  <c r="P11" i="1"/>
  <c r="P292" i="1"/>
  <c r="P194" i="1"/>
  <c r="P130" i="1"/>
  <c r="P140" i="1"/>
  <c r="P254" i="1"/>
  <c r="P192" i="1"/>
  <c r="P287" i="1"/>
  <c r="P208" i="1"/>
  <c r="P103" i="1"/>
  <c r="P142" i="1"/>
  <c r="P90" i="1"/>
  <c r="P37" i="1"/>
  <c r="P275" i="1"/>
  <c r="P101" i="1"/>
  <c r="P163" i="1"/>
  <c r="P117" i="1"/>
  <c r="P227" i="1"/>
  <c r="P53" i="1"/>
  <c r="P104" i="1"/>
  <c r="P86" i="1"/>
  <c r="P248" i="1"/>
  <c r="P217" i="1"/>
  <c r="P207" i="1"/>
  <c r="P174" i="1"/>
  <c r="P184" i="1"/>
  <c r="P48" i="1"/>
  <c r="P285" i="1"/>
  <c r="P293" i="1"/>
  <c r="P81" i="1"/>
  <c r="P169" i="1"/>
  <c r="P42" i="1"/>
  <c r="P95" i="1"/>
  <c r="P172" i="1"/>
  <c r="P230" i="1"/>
  <c r="P167" i="1"/>
  <c r="P26" i="1"/>
  <c r="P151" i="1"/>
  <c r="P29" i="1"/>
  <c r="P239" i="1"/>
  <c r="P228" i="1"/>
  <c r="P185" i="1"/>
  <c r="P216" i="1"/>
  <c r="P145" i="1"/>
  <c r="P4" i="1"/>
  <c r="P30" i="1"/>
  <c r="P128" i="1"/>
  <c r="P161" i="1"/>
  <c r="P224" i="1"/>
  <c r="P65" i="1"/>
  <c r="P96" i="1"/>
  <c r="P119" i="1"/>
  <c r="P220" i="1"/>
  <c r="P123" i="1"/>
  <c r="P98" i="1"/>
  <c r="P164" i="1"/>
  <c r="P259" i="1"/>
  <c r="P200" i="1"/>
  <c r="P243" i="1"/>
  <c r="P246" i="1"/>
  <c r="P175" i="1"/>
  <c r="P300" i="1"/>
  <c r="P9" i="1"/>
  <c r="P22" i="1"/>
  <c r="P267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E4" i="30" l="1"/>
  <c r="B71" i="28"/>
  <c r="B59" i="28"/>
  <c r="B47" i="28"/>
  <c r="B35" i="28"/>
  <c r="B23" i="28"/>
  <c r="B11" i="28"/>
  <c r="C66" i="28"/>
  <c r="C54" i="28"/>
  <c r="C42" i="28"/>
  <c r="C30" i="28"/>
  <c r="C18" i="28"/>
  <c r="C6" i="28"/>
  <c r="C67" i="28"/>
  <c r="B58" i="28"/>
  <c r="B46" i="28"/>
  <c r="B22" i="28"/>
  <c r="B10" i="28"/>
  <c r="C65" i="28"/>
  <c r="C53" i="28"/>
  <c r="C41" i="28"/>
  <c r="C29" i="28"/>
  <c r="C17" i="28"/>
  <c r="C19" i="28"/>
  <c r="C31" i="28"/>
  <c r="B70" i="28"/>
  <c r="B34" i="28"/>
  <c r="B69" i="28"/>
  <c r="B57" i="28"/>
  <c r="B45" i="28"/>
  <c r="B33" i="28"/>
  <c r="B21" i="28"/>
  <c r="B9" i="28"/>
  <c r="C64" i="28"/>
  <c r="C52" i="28"/>
  <c r="C40" i="28"/>
  <c r="C28" i="28"/>
  <c r="C16" i="28"/>
  <c r="B68" i="28"/>
  <c r="B56" i="28"/>
  <c r="B44" i="28"/>
  <c r="B32" i="28"/>
  <c r="B20" i="28"/>
  <c r="B8" i="28"/>
  <c r="C63" i="28"/>
  <c r="C51" i="28"/>
  <c r="C39" i="28"/>
  <c r="C27" i="28"/>
  <c r="C15" i="28"/>
  <c r="C43" i="28"/>
  <c r="B67" i="28"/>
  <c r="B55" i="28"/>
  <c r="B43" i="28"/>
  <c r="B31" i="28"/>
  <c r="B19" i="28"/>
  <c r="B7" i="28"/>
  <c r="C62" i="28"/>
  <c r="C50" i="28"/>
  <c r="C38" i="28"/>
  <c r="C26" i="28"/>
  <c r="C14" i="28"/>
  <c r="B66" i="28"/>
  <c r="D66" i="28" s="1"/>
  <c r="B42" i="28"/>
  <c r="D42" i="28" s="1"/>
  <c r="B18" i="28"/>
  <c r="C61" i="28"/>
  <c r="C37" i="28"/>
  <c r="C13" i="28"/>
  <c r="B65" i="28"/>
  <c r="D65" i="28" s="1"/>
  <c r="B53" i="28"/>
  <c r="D53" i="28" s="1"/>
  <c r="B41" i="28"/>
  <c r="D41" i="28" s="1"/>
  <c r="B29" i="28"/>
  <c r="D29" i="28" s="1"/>
  <c r="B17" i="28"/>
  <c r="D17" i="28" s="1"/>
  <c r="C5" i="28"/>
  <c r="D5" i="28" s="1"/>
  <c r="C60" i="28"/>
  <c r="C48" i="28"/>
  <c r="C36" i="28"/>
  <c r="C24" i="28"/>
  <c r="C12" i="28"/>
  <c r="B54" i="28"/>
  <c r="D54" i="28" s="1"/>
  <c r="B30" i="28"/>
  <c r="D30" i="28" s="1"/>
  <c r="B6" i="28"/>
  <c r="C49" i="28"/>
  <c r="C25" i="28"/>
  <c r="B64" i="28"/>
  <c r="D64" i="28" s="1"/>
  <c r="B52" i="28"/>
  <c r="D52" i="28" s="1"/>
  <c r="B40" i="28"/>
  <c r="B28" i="28"/>
  <c r="B16" i="28"/>
  <c r="D16" i="28" s="1"/>
  <c r="C71" i="28"/>
  <c r="C59" i="28"/>
  <c r="C47" i="28"/>
  <c r="C35" i="28"/>
  <c r="C23" i="28"/>
  <c r="C11" i="28"/>
  <c r="B63" i="28"/>
  <c r="D63" i="28" s="1"/>
  <c r="B51" i="28"/>
  <c r="D51" i="28" s="1"/>
  <c r="B39" i="28"/>
  <c r="D39" i="28" s="1"/>
  <c r="B27" i="28"/>
  <c r="B15" i="28"/>
  <c r="C70" i="28"/>
  <c r="C58" i="28"/>
  <c r="C46" i="28"/>
  <c r="C34" i="28"/>
  <c r="C22" i="28"/>
  <c r="C10" i="28"/>
  <c r="B62" i="28"/>
  <c r="D62" i="28" s="1"/>
  <c r="B50" i="28"/>
  <c r="B38" i="28"/>
  <c r="D38" i="28" s="1"/>
  <c r="B26" i="28"/>
  <c r="B14" i="28"/>
  <c r="C69" i="28"/>
  <c r="C57" i="28"/>
  <c r="C45" i="28"/>
  <c r="C33" i="28"/>
  <c r="C21" i="28"/>
  <c r="C9" i="28"/>
  <c r="B61" i="28"/>
  <c r="D61" i="28" s="1"/>
  <c r="B49" i="28"/>
  <c r="D49" i="28" s="1"/>
  <c r="B37" i="28"/>
  <c r="D37" i="28" s="1"/>
  <c r="B25" i="28"/>
  <c r="D25" i="28" s="1"/>
  <c r="B13" i="28"/>
  <c r="D13" i="28" s="1"/>
  <c r="C68" i="28"/>
  <c r="C56" i="28"/>
  <c r="C44" i="28"/>
  <c r="C32" i="28"/>
  <c r="C20" i="28"/>
  <c r="C8" i="28"/>
  <c r="B60" i="28"/>
  <c r="D60" i="28" s="1"/>
  <c r="B48" i="28"/>
  <c r="D48" i="28" s="1"/>
  <c r="B36" i="28"/>
  <c r="D36" i="28" s="1"/>
  <c r="B24" i="28"/>
  <c r="B12" i="28"/>
  <c r="D12" i="28" s="1"/>
  <c r="C55" i="28"/>
  <c r="C7" i="28"/>
  <c r="D24" i="28" l="1"/>
  <c r="D50" i="28"/>
  <c r="D6" i="28"/>
  <c r="D31" i="28"/>
  <c r="D15" i="28"/>
  <c r="D28" i="28"/>
  <c r="D14" i="28"/>
  <c r="D9" i="28"/>
  <c r="D7" i="28"/>
  <c r="G4" i="28" s="1"/>
  <c r="G5" i="28" s="1"/>
  <c r="D8" i="28"/>
  <c r="D21" i="28"/>
  <c r="D19" i="28"/>
  <c r="D20" i="28"/>
  <c r="D33" i="28"/>
  <c r="D11" i="28"/>
  <c r="D32" i="28"/>
  <c r="D45" i="28"/>
  <c r="D10" i="28"/>
  <c r="D23" i="28"/>
  <c r="D43" i="28"/>
  <c r="D44" i="28"/>
  <c r="D57" i="28"/>
  <c r="D22" i="28"/>
  <c r="D35" i="28"/>
  <c r="D18" i="28"/>
  <c r="D55" i="28"/>
  <c r="D56" i="28"/>
  <c r="D69" i="28"/>
  <c r="D46" i="28"/>
  <c r="D47" i="28"/>
  <c r="D67" i="28"/>
  <c r="D68" i="28"/>
  <c r="D34" i="28"/>
  <c r="D58" i="28"/>
  <c r="D59" i="28"/>
  <c r="D27" i="28"/>
  <c r="D40" i="28"/>
  <c r="D70" i="28"/>
  <c r="D71" i="28"/>
  <c r="D26" i="2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3EDC30-8C1B-442D-B5E6-BDAA5EA98A27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70F6C4F7-43FF-48B7-9551-B1D4257EEDF6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<sst xmlns="http://schemas.openxmlformats.org/spreadsheetml/2006/main" count="5252" uniqueCount="396">
  <si>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</si>
  <si>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</si>
  <si>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</si>
  <si>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</si>
  <si>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</si>
  <si>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</si>
  <si>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</si>
  <si>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</si>
  <si>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</si>
  <si>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</si>
  <si>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</si>
  <si>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</si>
  <si>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</si>
  <si>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</si>
  <si>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</si>
  <si>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</si>
  <si>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</si>
  <si>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</si>
  <si>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</si>
  <si>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</si>
  <si>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</si>
  <si>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</si>
  <si>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</si>
  <si>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</si>
  <si>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</si>
  <si>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</si>
  <si>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Wrapped is here! Relive your top tracks ðŸŽ§</t>
  </si>
  <si>
    <t>SP005</t>
  </si>
  <si>
    <t>YouTube</t>
  </si>
  <si>
    <t>Music that moves youâ€”only on Spotify.</t>
  </si>
  <si>
    <t>SP006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</si>
  <si>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</si>
  <si>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</si>
  <si>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</si>
  <si>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</si>
  <si>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</si>
  <si>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</si>
  <si>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</si>
  <si>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</si>
  <si>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</si>
  <si>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</si>
  <si>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</si>
  <si>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</si>
  <si>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</si>
  <si>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</si>
  <si>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</si>
  <si>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</si>
  <si>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</si>
  <si>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</si>
  <si>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</si>
  <si>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</si>
  <si>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</si>
  <si>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</si>
  <si>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</si>
  <si>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</si>
  <si>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</si>
  <si>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</si>
  <si>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</si>
  <si>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</si>
  <si>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</si>
  <si>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</si>
  <si>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</si>
  <si>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</si>
  <si>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</si>
  <si>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</si>
  <si>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</si>
  <si>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</si>
  <si>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</si>
  <si>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</si>
  <si>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</si>
  <si>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</si>
  <si>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</si>
  <si>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</si>
  <si>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</si>
  <si>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</si>
  <si>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</si>
  <si>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</si>
  <si>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</si>
  <si>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</si>
  <si>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</si>
  <si>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</si>
  <si>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</si>
  <si>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</si>
  <si>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</si>
  <si>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</si>
  <si>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</si>
  <si>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</si>
  <si>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</si>
  <si>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</si>
  <si>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</si>
  <si>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</si>
  <si>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</si>
  <si>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</si>
  <si>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</si>
  <si>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</si>
  <si>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</si>
  <si>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</si>
  <si>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</si>
  <si>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</si>
  <si>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</si>
  <si>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</si>
  <si>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</si>
  <si>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</si>
  <si>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</si>
  <si>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</si>
  <si>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</si>
  <si>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</si>
  <si>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</si>
  <si>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</si>
  <si>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</si>
  <si>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</si>
  <si>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</si>
  <si>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</si>
  <si>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</si>
  <si>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</si>
  <si>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</si>
  <si>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</si>
  <si>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</si>
  <si>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</si>
  <si>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</si>
  <si>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</si>
  <si>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</si>
  <si>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</si>
  <si>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</si>
  <si>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</si>
  <si>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</si>
  <si>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</si>
  <si>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</si>
  <si>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</si>
  <si>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</si>
  <si>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</si>
  <si>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</si>
  <si>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</si>
  <si>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</si>
  <si>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</si>
  <si>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</si>
  <si>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</si>
  <si>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</si>
  <si>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</si>
  <si>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</si>
  <si>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</si>
  <si>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</si>
  <si>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</si>
  <si>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</si>
  <si>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</si>
  <si>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</si>
  <si>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</si>
  <si>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</si>
  <si>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</si>
  <si>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</si>
  <si>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</si>
  <si>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</si>
  <si>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</si>
  <si>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</si>
  <si>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</si>
  <si>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</si>
  <si>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</si>
  <si>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</si>
  <si>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</si>
  <si>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</si>
  <si>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</si>
  <si>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</si>
  <si>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</si>
  <si>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</si>
  <si>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</si>
  <si>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</si>
  <si>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</si>
  <si>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</si>
  <si>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</si>
  <si>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</si>
  <si>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</si>
  <si>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</si>
  <si>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</si>
  <si>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</si>
  <si>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</si>
  <si>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</si>
  <si>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</si>
  <si>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</si>
  <si>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</si>
  <si>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</si>
  <si>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</si>
  <si>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</si>
  <si>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</si>
  <si>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</si>
  <si>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</si>
  <si>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</si>
  <si>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</si>
  <si>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</si>
  <si>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</si>
  <si>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</si>
  <si>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</si>
  <si>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</si>
  <si>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</si>
  <si>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</si>
  <si>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</si>
  <si>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</si>
  <si>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</si>
  <si>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</si>
  <si>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</si>
  <si>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</si>
  <si>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</si>
  <si>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</si>
  <si>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</si>
  <si>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</si>
  <si>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</si>
  <si>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</si>
  <si>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</si>
  <si>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</si>
  <si>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</si>
  <si>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</si>
  <si>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</si>
  <si>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</si>
  <si>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</si>
  <si>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</si>
  <si>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</si>
  <si>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</si>
  <si>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</si>
  <si>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</si>
  <si>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</si>
  <si>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</si>
  <si>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</si>
  <si>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</si>
  <si>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</si>
  <si>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</si>
  <si>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</si>
  <si>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</si>
  <si>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</si>
  <si>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</si>
  <si>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</si>
  <si>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</si>
  <si>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</si>
  <si>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</si>
  <si>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</si>
  <si>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</si>
  <si>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</si>
  <si>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</si>
  <si>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</si>
  <si>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</si>
  <si>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</si>
  <si>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</si>
  <si>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</si>
  <si>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</si>
  <si>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</si>
  <si>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</si>
  <si>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</si>
  <si>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</si>
  <si>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</si>
  <si>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</si>
  <si>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</si>
  <si>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</si>
  <si>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</si>
  <si>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</si>
  <si>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</si>
  <si>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</si>
  <si>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</si>
  <si>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</si>
  <si>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</si>
  <si>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</si>
  <si>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</si>
  <si>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</si>
  <si>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</si>
  <si>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</si>
  <si>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</si>
  <si>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</si>
  <si>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</si>
  <si>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</si>
  <si>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</si>
  <si>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</si>
  <si>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</si>
  <si>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</si>
  <si>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</si>
  <si>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</si>
  <si>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</si>
  <si>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</si>
  <si>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</si>
  <si>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</si>
  <si>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</si>
  <si>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</si>
  <si>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</si>
  <si>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</si>
  <si>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</si>
  <si>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</si>
  <si>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</si>
  <si>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</si>
  <si>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</si>
  <si>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</si>
  <si>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</si>
  <si>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</si>
  <si>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</si>
  <si>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</si>
  <si>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</si>
  <si>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</si>
  <si>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</si>
  <si>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</si>
  <si>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</si>
  <si>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</si>
  <si>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</si>
  <si>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</si>
  <si>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</si>
  <si>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</si>
  <si>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</si>
  <si>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</si>
  <si>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</si>
  <si>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</si>
  <si>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</si>
  <si>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</si>
  <si>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</si>
  <si>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</si>
  <si>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</si>
  <si>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</si>
  <si>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</si>
  <si>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</si>
  <si>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</si>
  <si>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</si>
  <si>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</si>
  <si>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</si>
  <si>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</si>
  <si>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</si>
  <si>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</si>
  <si>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</si>
  <si>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</si>
  <si>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</si>
  <si>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</si>
  <si>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</si>
  <si>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</si>
  <si>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</si>
  <si>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</si>
  <si>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</si>
  <si>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</si>
  <si>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</si>
  <si>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</si>
  <si>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</si>
  <si>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</si>
  <si>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</si>
  <si>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</si>
  <si>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</si>
  <si>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</si>
  <si>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</si>
  <si>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</si>
  <si>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</si>
  <si>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</si>
  <si>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</si>
  <si>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</si>
  <si>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</si>
  <si>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</si>
  <si>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Brand Awareness</t>
  </si>
  <si>
    <t>Instagram,YouTube</t>
  </si>
  <si>
    <t>Engagement</t>
  </si>
  <si>
    <t>Twitter,YouTube</t>
  </si>
  <si>
    <t>Product Launch</t>
  </si>
  <si>
    <t>Instagram,Twitter</t>
  </si>
  <si>
    <t>Traffic</t>
  </si>
  <si>
    <t>Facebook,Instagram</t>
  </si>
  <si>
    <t>Primary_Hashtags.1</t>
  </si>
  <si>
    <t>#SpotifyWrapped</t>
  </si>
  <si>
    <t>#MusicForEveryone</t>
  </si>
  <si>
    <t>#ChillVibes</t>
  </si>
  <si>
    <t>#IndieWave</t>
  </si>
  <si>
    <t>Hashtags Used.1</t>
  </si>
  <si>
    <t>Hashtags Used.2</t>
  </si>
  <si>
    <t xml:space="preserve">Whatâ€™s your vibe today? </t>
  </si>
  <si>
    <t>SpotifyHits</t>
  </si>
  <si>
    <t>Post Text Hashtag</t>
  </si>
  <si>
    <t>Formula used==F2/100( to convert it into percentage)</t>
  </si>
  <si>
    <t>Engagement rate per platform</t>
  </si>
  <si>
    <t>Net Growth</t>
  </si>
  <si>
    <t>Net Followers gain</t>
  </si>
  <si>
    <t>Engagement_Rate %</t>
  </si>
  <si>
    <t>HASHTAG USED</t>
  </si>
  <si>
    <t>Row Labels</t>
  </si>
  <si>
    <t>Grand Total</t>
  </si>
  <si>
    <t xml:space="preserve">Engagement rate </t>
  </si>
  <si>
    <t>ENGAGEMENT</t>
  </si>
  <si>
    <t xml:space="preserve">Identify week with highest net follower gain </t>
  </si>
  <si>
    <t>New Followers Per Week</t>
  </si>
  <si>
    <t>Unfollower Per Week</t>
  </si>
  <si>
    <t>Unique weeks</t>
  </si>
  <si>
    <t>Week with highest net follwer gain  --&gt;</t>
  </si>
  <si>
    <t>Max net follower  --&gt;</t>
  </si>
  <si>
    <t>FORMULA USED</t>
  </si>
  <si>
    <t>UNIQUE WEEKS=UNIQUE('task 6 Engagement Summary'!A2:A201)</t>
  </si>
  <si>
    <t>Net Follower Gain</t>
  </si>
  <si>
    <t>NEW FOLLOWER PER WEEK
=SUMIFS('task 6 Engagement Summary'!$C$2:$C$201,'task 6 Engagement Summary'!$A$2:$A$201,'Task 6.1'!$A7)</t>
  </si>
  <si>
    <t>UNFOLLOW PER WEEK
=SUMIFS('task 6 Engagement Summary'!$D$2:$D$201,'task 6 Engagement Summary'!$A$2:$A$201,'Task 6.1'!$A7)</t>
  </si>
  <si>
    <t>NET FOLLOWER GAIN
=B7-C7</t>
  </si>
  <si>
    <t>MAX NET FOLLOWER =MAX(D7:D73)</t>
  </si>
  <si>
    <t>Week with highest net follwer gain  --&gt;
=INDEX(A7#,MATCH(G6,D7:D73,0))</t>
  </si>
  <si>
    <t>Moving average chart to analyze follower trends</t>
  </si>
  <si>
    <t>Sum of Net Follower</t>
  </si>
  <si>
    <t>The number of new followers changes a lot from week to week, with some big jumps and drops. But the dotted moving average line shows that, overall, follower growth is slowing down over time</t>
  </si>
  <si>
    <t>Correlation between Ad Spend vs. Follower Growth</t>
  </si>
  <si>
    <t>correlation</t>
  </si>
  <si>
    <t>Correlation between Ad Spend and Follower Growth (Net Followers gain):
                                                      -0.017
This is very close to 0, meaning there is almost no correlation between ad spend and follower growth</t>
  </si>
  <si>
    <t>Formula used</t>
  </si>
  <si>
    <t>correlation between ad spend vs follower growth
=CORREL(B5:B204,C5:C204)</t>
  </si>
  <si>
    <t>Or for Net Follower Gain We can Use
 =SUMIFS('task 6 Engagement Summary'!$C$2:$C$201,'task 6 Engagement Summary'!$A$2:$A$201,'Task 6.1'!$A7) - SUMIFS('task 6 Engagement Summary'!$D$2:$D$201,'task 6 Engagement Summary'!$A$2:$A$201,'Task 6.1'!$A7)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</si>
</sst>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14009]dd/mm/yyyy;@"/>
    <numFmt numFmtId="165" formatCode="_ [$₹-4009]\ * #,##0.00_ ;_ [$₹-4009]\ * \-#,##0.00_ ;_ [$₹-4009]\ * &quot;-&quot;??_ ;_ @_ "/>
    <numFmt numFmtId="166" formatCode="&quot;₹&quot;\ #,##0.00"/>
    <numFmt numFmtId="167" formatCode="0.00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1"/>
      <name val="Calibri"/>
      <family val="2"/>
      <scheme val="maj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08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2" fontId="0" fillId="0" borderId="0" xfId="1" applyNumberFormat="1" applyFont="1"/>
    <xf numFmtId="10" fontId="0" fillId="0" borderId="0" xfId="1" applyNumberFormat="1" applyFont="1"/>
    <xf numFmtId="164" fontId="8" fillId="2" borderId="2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2" fontId="8" fillId="2" borderId="2" xfId="1" applyNumberFormat="1" applyFont="1" applyFill="1" applyBorder="1" applyAlignment="1">
      <alignment horizontal="center" vertical="center" wrapText="1"/>
    </xf>
    <xf numFmtId="165" fontId="8" fillId="2" borderId="2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10" fontId="9" fillId="2" borderId="2" xfId="1" applyNumberFormat="1" applyFont="1" applyFill="1" applyBorder="1" applyAlignment="1">
      <alignment horizontal="center" vertical="center" wrapText="1"/>
    </xf>
    <xf numFmtId="164" fontId="10" fillId="0" borderId="0" xfId="0" applyNumberFormat="1" applyFont="1" applyAlignment="1">
      <alignment horizontal="right"/>
    </xf>
    <xf numFmtId="0" fontId="10" fillId="0" borderId="0" xfId="0" applyFont="1"/>
    <xf numFmtId="1" fontId="10" fillId="0" borderId="0" xfId="0" applyNumberFormat="1" applyFont="1" applyAlignment="1">
      <alignment horizontal="right"/>
    </xf>
    <xf numFmtId="2" fontId="10" fillId="0" borderId="0" xfId="1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0" fontId="11" fillId="0" borderId="0" xfId="1" applyNumberFormat="1" applyFont="1"/>
    <xf numFmtId="0" fontId="11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164" fontId="11" fillId="0" borderId="0" xfId="0" applyNumberFormat="1" applyFont="1"/>
    <xf numFmtId="165" fontId="9" fillId="2" borderId="1" xfId="0" applyNumberFormat="1" applyFont="1" applyFill="1" applyBorder="1" applyAlignment="1">
      <alignment horizontal="center" vertical="center" wrapText="1"/>
    </xf>
    <xf numFmtId="165" fontId="11" fillId="0" borderId="0" xfId="0" applyNumberFormat="1" applyFont="1"/>
    <xf numFmtId="0" fontId="12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 wrapText="1"/>
    </xf>
    <xf numFmtId="0" fontId="6" fillId="5" borderId="9" xfId="0" applyFont="1" applyFill="1" applyBorder="1"/>
    <xf numFmtId="0" fontId="13" fillId="4" borderId="12" xfId="0" applyFont="1" applyFill="1" applyBorder="1"/>
    <xf numFmtId="0" fontId="13" fillId="4" borderId="13" xfId="0" applyFont="1" applyFill="1" applyBorder="1"/>
    <xf numFmtId="0" fontId="13" fillId="4" borderId="14" xfId="0" applyFont="1" applyFill="1" applyBorder="1"/>
    <xf numFmtId="0" fontId="6" fillId="5" borderId="12" xfId="0" applyFont="1" applyFill="1" applyBorder="1"/>
    <xf numFmtId="0" fontId="6" fillId="5" borderId="13" xfId="0" applyFont="1" applyFill="1" applyBorder="1"/>
    <xf numFmtId="22" fontId="6" fillId="5" borderId="13" xfId="0" applyNumberFormat="1" applyFont="1" applyFill="1" applyBorder="1"/>
    <xf numFmtId="0" fontId="6" fillId="5" borderId="14" xfId="0" applyFont="1" applyFill="1" applyBorder="1"/>
    <xf numFmtId="0" fontId="6" fillId="0" borderId="12" xfId="0" applyFont="1" applyBorder="1"/>
    <xf numFmtId="0" fontId="6" fillId="0" borderId="13" xfId="0" applyFont="1" applyBorder="1"/>
    <xf numFmtId="22" fontId="6" fillId="0" borderId="13" xfId="0" applyNumberFormat="1" applyFont="1" applyBorder="1"/>
    <xf numFmtId="0" fontId="6" fillId="0" borderId="14" xfId="0" applyFont="1" applyBorder="1"/>
    <xf numFmtId="0" fontId="6" fillId="5" borderId="8" xfId="0" applyFont="1" applyFill="1" applyBorder="1"/>
    <xf numFmtId="22" fontId="6" fillId="5" borderId="9" xfId="0" applyNumberFormat="1" applyFont="1" applyFill="1" applyBorder="1"/>
    <xf numFmtId="0" fontId="6" fillId="5" borderId="10" xfId="0" applyFont="1" applyFill="1" applyBorder="1"/>
    <xf numFmtId="10" fontId="13" fillId="4" borderId="13" xfId="1" applyNumberFormat="1" applyFont="1" applyFill="1" applyBorder="1"/>
    <xf numFmtId="10" fontId="6" fillId="5" borderId="13" xfId="1" applyNumberFormat="1" applyFont="1" applyFill="1" applyBorder="1"/>
    <xf numFmtId="10" fontId="6" fillId="0" borderId="13" xfId="1" applyNumberFormat="1" applyFont="1" applyBorder="1"/>
    <xf numFmtId="10" fontId="6" fillId="5" borderId="9" xfId="1" applyNumberFormat="1" applyFont="1" applyFill="1" applyBorder="1"/>
    <xf numFmtId="0" fontId="8" fillId="2" borderId="15" xfId="0" applyFont="1" applyFill="1" applyBorder="1" applyAlignment="1">
      <alignment horizontal="center" vertical="center" wrapText="1"/>
    </xf>
    <xf numFmtId="164" fontId="8" fillId="2" borderId="15" xfId="0" applyNumberFormat="1" applyFont="1" applyFill="1" applyBorder="1" applyAlignment="1">
      <alignment horizontal="center" vertical="center" wrapText="1"/>
    </xf>
    <xf numFmtId="1" fontId="8" fillId="2" borderId="15" xfId="0" applyNumberFormat="1" applyFont="1" applyFill="1" applyBorder="1" applyAlignment="1">
      <alignment horizontal="center" vertical="center" wrapText="1"/>
    </xf>
    <xf numFmtId="0" fontId="10" fillId="3" borderId="17" xfId="0" applyFont="1" applyFill="1" applyBorder="1"/>
    <xf numFmtId="0" fontId="10" fillId="3" borderId="5" xfId="0" applyFont="1" applyFill="1" applyBorder="1"/>
    <xf numFmtId="164" fontId="10" fillId="3" borderId="5" xfId="0" applyNumberFormat="1" applyFont="1" applyFill="1" applyBorder="1" applyAlignment="1">
      <alignment horizontal="right"/>
    </xf>
    <xf numFmtId="1" fontId="10" fillId="3" borderId="5" xfId="0" applyNumberFormat="1" applyFont="1" applyFill="1" applyBorder="1" applyAlignment="1">
      <alignment horizontal="right"/>
    </xf>
    <xf numFmtId="10" fontId="6" fillId="3" borderId="18" xfId="1" applyNumberFormat="1" applyFont="1" applyFill="1" applyBorder="1"/>
    <xf numFmtId="0" fontId="10" fillId="0" borderId="19" xfId="0" applyFont="1" applyBorder="1"/>
    <xf numFmtId="0" fontId="10" fillId="0" borderId="4" xfId="0" applyFont="1" applyBorder="1"/>
    <xf numFmtId="164" fontId="10" fillId="0" borderId="4" xfId="0" applyNumberFormat="1" applyFont="1" applyBorder="1" applyAlignment="1">
      <alignment horizontal="right"/>
    </xf>
    <xf numFmtId="1" fontId="10" fillId="0" borderId="4" xfId="0" applyNumberFormat="1" applyFont="1" applyBorder="1" applyAlignment="1">
      <alignment horizontal="right"/>
    </xf>
    <xf numFmtId="10" fontId="6" fillId="0" borderId="20" xfId="1" applyNumberFormat="1" applyFont="1" applyBorder="1"/>
    <xf numFmtId="0" fontId="10" fillId="3" borderId="19" xfId="0" applyFont="1" applyFill="1" applyBorder="1"/>
    <xf numFmtId="0" fontId="10" fillId="3" borderId="4" xfId="0" applyFont="1" applyFill="1" applyBorder="1"/>
    <xf numFmtId="164" fontId="10" fillId="3" borderId="4" xfId="0" applyNumberFormat="1" applyFont="1" applyFill="1" applyBorder="1" applyAlignment="1">
      <alignment horizontal="right"/>
    </xf>
    <xf numFmtId="1" fontId="10" fillId="3" borderId="4" xfId="0" applyNumberFormat="1" applyFont="1" applyFill="1" applyBorder="1" applyAlignment="1">
      <alignment horizontal="right"/>
    </xf>
    <xf numFmtId="10" fontId="6" fillId="3" borderId="20" xfId="1" applyNumberFormat="1" applyFont="1" applyFill="1" applyBorder="1"/>
    <xf numFmtId="10" fontId="12" fillId="2" borderId="16" xfId="1" applyNumberFormat="1" applyFont="1" applyFill="1" applyBorder="1" applyAlignment="1">
      <alignment horizontal="center" vertical="center" wrapText="1"/>
    </xf>
    <xf numFmtId="10" fontId="5" fillId="0" borderId="0" xfId="1" applyNumberFormat="1" applyFont="1"/>
    <xf numFmtId="0" fontId="0" fillId="6" borderId="0" xfId="0" applyFill="1" applyAlignment="1">
      <alignment horizontal="left" vertical="top" wrapText="1"/>
    </xf>
    <xf numFmtId="1" fontId="0" fillId="6" borderId="0" xfId="0" applyNumberFormat="1" applyFill="1"/>
    <xf numFmtId="0" fontId="5" fillId="6" borderId="0" xfId="0" applyFont="1" applyFill="1" applyAlignment="1">
      <alignment horizontal="left" vertical="top" wrapText="1"/>
    </xf>
    <xf numFmtId="0" fontId="10" fillId="3" borderId="6" xfId="0" applyFont="1" applyFill="1" applyBorder="1"/>
    <xf numFmtId="0" fontId="10" fillId="3" borderId="7" xfId="0" applyFont="1" applyFill="1" applyBorder="1"/>
    <xf numFmtId="164" fontId="10" fillId="3" borderId="7" xfId="0" applyNumberFormat="1" applyFont="1" applyFill="1" applyBorder="1" applyAlignment="1">
      <alignment horizontal="right"/>
    </xf>
    <xf numFmtId="1" fontId="10" fillId="3" borderId="7" xfId="0" applyNumberFormat="1" applyFont="1" applyFill="1" applyBorder="1" applyAlignment="1">
      <alignment horizontal="right"/>
    </xf>
    <xf numFmtId="10" fontId="6" fillId="3" borderId="11" xfId="1" applyNumberFormat="1" applyFont="1" applyFill="1" applyBorder="1"/>
    <xf numFmtId="0" fontId="0" fillId="0" borderId="0" xfId="0" applyAlignment="1">
      <alignment horizontal="center"/>
    </xf>
    <xf numFmtId="2" fontId="9" fillId="2" borderId="2" xfId="1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14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0" fillId="0" borderId="0" xfId="0" pivotButton="1"/>
    <xf numFmtId="164" fontId="0" fillId="0" borderId="0" xfId="0" applyNumberFormat="1" applyAlignment="1">
      <alignment horizontal="left"/>
    </xf>
    <xf numFmtId="166" fontId="0" fillId="0" borderId="0" xfId="0" applyNumberFormat="1"/>
    <xf numFmtId="167" fontId="0" fillId="0" borderId="0" xfId="0" applyNumberFormat="1"/>
    <xf numFmtId="167" fontId="0" fillId="10" borderId="2" xfId="0" applyNumberFormat="1" applyFill="1" applyBorder="1"/>
    <xf numFmtId="0" fontId="0" fillId="10" borderId="21" xfId="0" applyFill="1" applyBorder="1"/>
    <xf numFmtId="0" fontId="14" fillId="8" borderId="21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0" fillId="9" borderId="2" xfId="0" applyFill="1" applyBorder="1" applyAlignment="1">
      <alignment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/>
    </xf>
    <xf numFmtId="0" fontId="14" fillId="8" borderId="2" xfId="0" applyFont="1" applyFill="1" applyBorder="1" applyAlignment="1">
      <alignment horizontal="center" vertical="center" wrapText="1"/>
    </xf>
    <xf numFmtId="14" fontId="14" fillId="0" borderId="2" xfId="0" applyNumberFormat="1" applyFont="1" applyBorder="1" applyAlignment="1">
      <alignment horizontal="center" vertical="center"/>
    </xf>
    <xf numFmtId="0" fontId="1" fillId="9" borderId="2" xfId="0" applyFont="1" applyFill="1" applyBorder="1" applyAlignment="1">
      <alignment horizontal="left" vertical="top" wrapText="1"/>
    </xf>
    <xf numFmtId="0" fontId="0" fillId="9" borderId="2" xfId="0" applyFill="1" applyBorder="1" applyAlignment="1">
      <alignment horizontal="left" vertical="top" wrapText="1"/>
    </xf>
    <xf numFmtId="0" fontId="1" fillId="9" borderId="2" xfId="0" applyFont="1" applyFill="1" applyBorder="1" applyAlignment="1">
      <alignment horizontal="left" vertical="center" wrapText="1"/>
    </xf>
    <xf numFmtId="0" fontId="0" fillId="9" borderId="2" xfId="0" applyFill="1" applyBorder="1" applyAlignment="1">
      <alignment horizontal="left" vertical="center" wrapText="1"/>
    </xf>
    <xf numFmtId="0" fontId="16" fillId="7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5" fillId="11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/>
    </xf>
    <xf numFmtId="0" fontId="2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27E8FB76-012C-4EAA-B7C6-D2766D49B0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 of Spotify social media performace data  - Copy - Copy - Copy - Copy - Copy.xlsx]Task 6.2!PivotTable4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Net follower </a:t>
            </a:r>
            <a:endParaRPr lang="en-US"/>
          </a:p>
        </c:rich>
      </c:tx>
      <c:layout>
        <c:manualLayout>
          <c:xMode val="edge"/>
          <c:yMode val="edge"/>
          <c:x val="0.39522578421234056"/>
          <c:y val="5.39738643127893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6.2'!$B$5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4"/>
            <c:dispRSqr val="0"/>
            <c:dispEq val="0"/>
          </c:trendline>
          <c:cat>
            <c:strRef>
              <c:f>'Task 6.2'!$A$6:$A$73</c:f>
              <c:strCache>
                <c:ptCount val="67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19-05-2025</c:v>
                </c:pt>
                <c:pt idx="51">
                  <c:v>26-05-2025</c:v>
                </c:pt>
                <c:pt idx="52">
                  <c:v>02-06-2025</c:v>
                </c:pt>
                <c:pt idx="53">
                  <c:v>09-06-2025</c:v>
                </c:pt>
                <c:pt idx="54">
                  <c:v>16-06-2025</c:v>
                </c:pt>
                <c:pt idx="55">
                  <c:v>23-06-2025</c:v>
                </c:pt>
                <c:pt idx="56">
                  <c:v>30-06-2025</c:v>
                </c:pt>
                <c:pt idx="57">
                  <c:v>07-07-2025</c:v>
                </c:pt>
                <c:pt idx="58">
                  <c:v>14-07-2025</c:v>
                </c:pt>
                <c:pt idx="59">
                  <c:v>21-07-2025</c:v>
                </c:pt>
                <c:pt idx="60">
                  <c:v>28-07-2025</c:v>
                </c:pt>
                <c:pt idx="61">
                  <c:v>04-08-2025</c:v>
                </c:pt>
                <c:pt idx="62">
                  <c:v>11-08-2025</c:v>
                </c:pt>
                <c:pt idx="63">
                  <c:v>18-08-2025</c:v>
                </c:pt>
                <c:pt idx="64">
                  <c:v>25-08-2025</c:v>
                </c:pt>
                <c:pt idx="65">
                  <c:v>01-09-2025</c:v>
                </c:pt>
                <c:pt idx="66">
                  <c:v>08-09-2025</c:v>
                </c:pt>
              </c:strCache>
            </c:strRef>
          </c:cat>
          <c:val>
            <c:numRef>
              <c:f>'Task 6.2'!$B$6:$B$73</c:f>
              <c:numCache>
                <c:formatCode>0</c:formatCode>
                <c:ptCount val="67"/>
                <c:pt idx="0">
                  <c:v>3419</c:v>
                </c:pt>
                <c:pt idx="1">
                  <c:v>2777</c:v>
                </c:pt>
                <c:pt idx="2">
                  <c:v>3175</c:v>
                </c:pt>
                <c:pt idx="3">
                  <c:v>2433</c:v>
                </c:pt>
                <c:pt idx="4">
                  <c:v>2426</c:v>
                </c:pt>
                <c:pt idx="5">
                  <c:v>3155</c:v>
                </c:pt>
                <c:pt idx="6">
                  <c:v>2369</c:v>
                </c:pt>
                <c:pt idx="7">
                  <c:v>2281</c:v>
                </c:pt>
                <c:pt idx="8">
                  <c:v>2132</c:v>
                </c:pt>
                <c:pt idx="9">
                  <c:v>2693</c:v>
                </c:pt>
                <c:pt idx="10">
                  <c:v>3072</c:v>
                </c:pt>
                <c:pt idx="11">
                  <c:v>2300</c:v>
                </c:pt>
                <c:pt idx="12">
                  <c:v>2450</c:v>
                </c:pt>
                <c:pt idx="13">
                  <c:v>2502</c:v>
                </c:pt>
                <c:pt idx="14">
                  <c:v>2630</c:v>
                </c:pt>
                <c:pt idx="15">
                  <c:v>2162</c:v>
                </c:pt>
                <c:pt idx="16">
                  <c:v>2785</c:v>
                </c:pt>
                <c:pt idx="17">
                  <c:v>3151</c:v>
                </c:pt>
                <c:pt idx="18">
                  <c:v>2338</c:v>
                </c:pt>
                <c:pt idx="19">
                  <c:v>2670</c:v>
                </c:pt>
                <c:pt idx="20">
                  <c:v>2792</c:v>
                </c:pt>
                <c:pt idx="21">
                  <c:v>2181</c:v>
                </c:pt>
                <c:pt idx="22">
                  <c:v>3576</c:v>
                </c:pt>
                <c:pt idx="23">
                  <c:v>2794</c:v>
                </c:pt>
                <c:pt idx="24">
                  <c:v>1935</c:v>
                </c:pt>
                <c:pt idx="25">
                  <c:v>2287</c:v>
                </c:pt>
                <c:pt idx="26">
                  <c:v>2383</c:v>
                </c:pt>
                <c:pt idx="27">
                  <c:v>1398</c:v>
                </c:pt>
                <c:pt idx="28">
                  <c:v>2693</c:v>
                </c:pt>
                <c:pt idx="29">
                  <c:v>2550</c:v>
                </c:pt>
                <c:pt idx="30">
                  <c:v>2337</c:v>
                </c:pt>
                <c:pt idx="31">
                  <c:v>2451</c:v>
                </c:pt>
                <c:pt idx="32">
                  <c:v>2341</c:v>
                </c:pt>
                <c:pt idx="33">
                  <c:v>1832</c:v>
                </c:pt>
                <c:pt idx="34">
                  <c:v>1928</c:v>
                </c:pt>
                <c:pt idx="35">
                  <c:v>1680</c:v>
                </c:pt>
                <c:pt idx="36">
                  <c:v>2361</c:v>
                </c:pt>
                <c:pt idx="37">
                  <c:v>1543</c:v>
                </c:pt>
                <c:pt idx="38">
                  <c:v>1713</c:v>
                </c:pt>
                <c:pt idx="39">
                  <c:v>2763</c:v>
                </c:pt>
                <c:pt idx="40">
                  <c:v>2315</c:v>
                </c:pt>
                <c:pt idx="41">
                  <c:v>2188</c:v>
                </c:pt>
                <c:pt idx="42">
                  <c:v>2679</c:v>
                </c:pt>
                <c:pt idx="43">
                  <c:v>2781</c:v>
                </c:pt>
                <c:pt idx="44">
                  <c:v>3291</c:v>
                </c:pt>
                <c:pt idx="45">
                  <c:v>3216</c:v>
                </c:pt>
                <c:pt idx="46">
                  <c:v>1728</c:v>
                </c:pt>
                <c:pt idx="47">
                  <c:v>2378</c:v>
                </c:pt>
                <c:pt idx="48">
                  <c:v>2054</c:v>
                </c:pt>
                <c:pt idx="49">
                  <c:v>1400</c:v>
                </c:pt>
                <c:pt idx="50">
                  <c:v>3569</c:v>
                </c:pt>
                <c:pt idx="51">
                  <c:v>2909</c:v>
                </c:pt>
                <c:pt idx="52">
                  <c:v>2049</c:v>
                </c:pt>
                <c:pt idx="53">
                  <c:v>2243</c:v>
                </c:pt>
                <c:pt idx="54">
                  <c:v>2017</c:v>
                </c:pt>
                <c:pt idx="55">
                  <c:v>1384</c:v>
                </c:pt>
                <c:pt idx="56">
                  <c:v>2315</c:v>
                </c:pt>
                <c:pt idx="57">
                  <c:v>2669</c:v>
                </c:pt>
                <c:pt idx="58">
                  <c:v>2654</c:v>
                </c:pt>
                <c:pt idx="59">
                  <c:v>2694</c:v>
                </c:pt>
                <c:pt idx="60">
                  <c:v>3236</c:v>
                </c:pt>
                <c:pt idx="61">
                  <c:v>1689</c:v>
                </c:pt>
                <c:pt idx="62">
                  <c:v>2347</c:v>
                </c:pt>
                <c:pt idx="63">
                  <c:v>1819</c:v>
                </c:pt>
                <c:pt idx="64">
                  <c:v>2646</c:v>
                </c:pt>
                <c:pt idx="65">
                  <c:v>1424</c:v>
                </c:pt>
                <c:pt idx="66">
                  <c:v>1436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02-405C-A3FB-7367DD3C6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707056"/>
        <c:axId val="1397703216"/>
      </c:lineChart>
      <c:catAx>
        <c:axId val="1397707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</a:t>
                </a:r>
                <a:r>
                  <a:rPr lang="en-IN" baseline="0"/>
                  <a:t> Days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03216"/>
        <c:crosses val="autoZero"/>
        <c:auto val="1"/>
        <c:lblAlgn val="ctr"/>
        <c:lblOffset val="100"/>
        <c:noMultiLvlLbl val="0"/>
      </c:catAx>
      <c:valAx>
        <c:axId val="1397703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 Follower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0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000000">
          <a:alpha val="91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Ad</a:t>
            </a:r>
            <a:r>
              <a:rPr lang="en-US" b="1" baseline="0"/>
              <a:t> Spend vs Follower Growth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6.3'!$C$4</c:f>
              <c:strCache>
                <c:ptCount val="1"/>
                <c:pt idx="0">
                  <c:v>Net Followers gain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'Task 6.3'!$B$5:$B$204</c:f>
              <c:numCache>
                <c:formatCode>_ [$₹-4009]\ * #,##0.00_ ;_ [$₹-4009]\ * \-#,##0.00_ ;_ [$₹-4009]\ * "-"??_ ;_ @_ </c:formatCode>
                <c:ptCount val="200"/>
                <c:pt idx="0">
                  <c:v>23125</c:v>
                </c:pt>
                <c:pt idx="1">
                  <c:v>22788</c:v>
                </c:pt>
                <c:pt idx="2">
                  <c:v>7810</c:v>
                </c:pt>
                <c:pt idx="3">
                  <c:v>11966</c:v>
                </c:pt>
                <c:pt idx="4">
                  <c:v>26298</c:v>
                </c:pt>
                <c:pt idx="5">
                  <c:v>22029</c:v>
                </c:pt>
                <c:pt idx="6">
                  <c:v>12391</c:v>
                </c:pt>
                <c:pt idx="7">
                  <c:v>14477</c:v>
                </c:pt>
                <c:pt idx="8">
                  <c:v>25040</c:v>
                </c:pt>
                <c:pt idx="9">
                  <c:v>22619</c:v>
                </c:pt>
                <c:pt idx="10">
                  <c:v>12399</c:v>
                </c:pt>
                <c:pt idx="11">
                  <c:v>22456</c:v>
                </c:pt>
                <c:pt idx="12">
                  <c:v>19328</c:v>
                </c:pt>
                <c:pt idx="13">
                  <c:v>21107</c:v>
                </c:pt>
                <c:pt idx="14">
                  <c:v>12277</c:v>
                </c:pt>
                <c:pt idx="15">
                  <c:v>11684</c:v>
                </c:pt>
                <c:pt idx="16">
                  <c:v>14412</c:v>
                </c:pt>
                <c:pt idx="17">
                  <c:v>15924</c:v>
                </c:pt>
                <c:pt idx="18">
                  <c:v>12390</c:v>
                </c:pt>
                <c:pt idx="19">
                  <c:v>25742</c:v>
                </c:pt>
                <c:pt idx="20">
                  <c:v>10495</c:v>
                </c:pt>
                <c:pt idx="21">
                  <c:v>7797</c:v>
                </c:pt>
                <c:pt idx="22">
                  <c:v>15595</c:v>
                </c:pt>
                <c:pt idx="23">
                  <c:v>24617</c:v>
                </c:pt>
                <c:pt idx="24">
                  <c:v>9847</c:v>
                </c:pt>
                <c:pt idx="25">
                  <c:v>13644</c:v>
                </c:pt>
                <c:pt idx="26">
                  <c:v>11421</c:v>
                </c:pt>
                <c:pt idx="27">
                  <c:v>15613</c:v>
                </c:pt>
                <c:pt idx="28">
                  <c:v>23900</c:v>
                </c:pt>
                <c:pt idx="29">
                  <c:v>5836</c:v>
                </c:pt>
                <c:pt idx="30">
                  <c:v>5624</c:v>
                </c:pt>
                <c:pt idx="31">
                  <c:v>10311</c:v>
                </c:pt>
                <c:pt idx="32">
                  <c:v>8274</c:v>
                </c:pt>
                <c:pt idx="33">
                  <c:v>6031</c:v>
                </c:pt>
                <c:pt idx="34">
                  <c:v>27829</c:v>
                </c:pt>
                <c:pt idx="35">
                  <c:v>18267</c:v>
                </c:pt>
                <c:pt idx="36">
                  <c:v>26624</c:v>
                </c:pt>
                <c:pt idx="37">
                  <c:v>26644</c:v>
                </c:pt>
                <c:pt idx="38">
                  <c:v>13051</c:v>
                </c:pt>
                <c:pt idx="39">
                  <c:v>14217</c:v>
                </c:pt>
                <c:pt idx="40">
                  <c:v>16385</c:v>
                </c:pt>
                <c:pt idx="41">
                  <c:v>24548</c:v>
                </c:pt>
                <c:pt idx="42">
                  <c:v>9195</c:v>
                </c:pt>
                <c:pt idx="43">
                  <c:v>18071</c:v>
                </c:pt>
                <c:pt idx="44">
                  <c:v>16875</c:v>
                </c:pt>
                <c:pt idx="45">
                  <c:v>9567</c:v>
                </c:pt>
                <c:pt idx="46">
                  <c:v>20306</c:v>
                </c:pt>
                <c:pt idx="47">
                  <c:v>21134</c:v>
                </c:pt>
                <c:pt idx="48">
                  <c:v>26872</c:v>
                </c:pt>
                <c:pt idx="49">
                  <c:v>10253</c:v>
                </c:pt>
                <c:pt idx="50">
                  <c:v>23963</c:v>
                </c:pt>
                <c:pt idx="51">
                  <c:v>11335</c:v>
                </c:pt>
                <c:pt idx="52">
                  <c:v>12115</c:v>
                </c:pt>
                <c:pt idx="53">
                  <c:v>24358</c:v>
                </c:pt>
                <c:pt idx="54">
                  <c:v>12181</c:v>
                </c:pt>
                <c:pt idx="55">
                  <c:v>17729</c:v>
                </c:pt>
                <c:pt idx="56">
                  <c:v>10881</c:v>
                </c:pt>
                <c:pt idx="57">
                  <c:v>18576</c:v>
                </c:pt>
                <c:pt idx="58">
                  <c:v>9383</c:v>
                </c:pt>
                <c:pt idx="59">
                  <c:v>14178</c:v>
                </c:pt>
                <c:pt idx="60">
                  <c:v>21254</c:v>
                </c:pt>
                <c:pt idx="61">
                  <c:v>14215</c:v>
                </c:pt>
                <c:pt idx="62">
                  <c:v>16921</c:v>
                </c:pt>
                <c:pt idx="63">
                  <c:v>25130</c:v>
                </c:pt>
                <c:pt idx="64">
                  <c:v>25537</c:v>
                </c:pt>
                <c:pt idx="65">
                  <c:v>24943</c:v>
                </c:pt>
                <c:pt idx="66">
                  <c:v>14563</c:v>
                </c:pt>
                <c:pt idx="67">
                  <c:v>26273</c:v>
                </c:pt>
                <c:pt idx="68">
                  <c:v>10858</c:v>
                </c:pt>
                <c:pt idx="69">
                  <c:v>25038</c:v>
                </c:pt>
                <c:pt idx="70">
                  <c:v>9092</c:v>
                </c:pt>
                <c:pt idx="71">
                  <c:v>17662</c:v>
                </c:pt>
                <c:pt idx="72">
                  <c:v>5924</c:v>
                </c:pt>
                <c:pt idx="73">
                  <c:v>25347</c:v>
                </c:pt>
                <c:pt idx="74">
                  <c:v>8910</c:v>
                </c:pt>
                <c:pt idx="75">
                  <c:v>20438</c:v>
                </c:pt>
                <c:pt idx="76">
                  <c:v>8760</c:v>
                </c:pt>
                <c:pt idx="77">
                  <c:v>6625</c:v>
                </c:pt>
                <c:pt idx="78">
                  <c:v>23329</c:v>
                </c:pt>
                <c:pt idx="79">
                  <c:v>7299</c:v>
                </c:pt>
                <c:pt idx="80">
                  <c:v>14496</c:v>
                </c:pt>
                <c:pt idx="81">
                  <c:v>25703</c:v>
                </c:pt>
                <c:pt idx="82">
                  <c:v>15108</c:v>
                </c:pt>
                <c:pt idx="83">
                  <c:v>18867</c:v>
                </c:pt>
                <c:pt idx="84">
                  <c:v>17574</c:v>
                </c:pt>
                <c:pt idx="85">
                  <c:v>12840</c:v>
                </c:pt>
                <c:pt idx="86">
                  <c:v>21079</c:v>
                </c:pt>
                <c:pt idx="87">
                  <c:v>23486</c:v>
                </c:pt>
                <c:pt idx="88">
                  <c:v>5960</c:v>
                </c:pt>
                <c:pt idx="89">
                  <c:v>13301</c:v>
                </c:pt>
                <c:pt idx="90">
                  <c:v>10563</c:v>
                </c:pt>
                <c:pt idx="91">
                  <c:v>19949</c:v>
                </c:pt>
                <c:pt idx="92">
                  <c:v>14273</c:v>
                </c:pt>
                <c:pt idx="93">
                  <c:v>9247</c:v>
                </c:pt>
                <c:pt idx="94">
                  <c:v>11972</c:v>
                </c:pt>
                <c:pt idx="95">
                  <c:v>13314</c:v>
                </c:pt>
                <c:pt idx="96">
                  <c:v>14749</c:v>
                </c:pt>
                <c:pt idx="97">
                  <c:v>6868</c:v>
                </c:pt>
                <c:pt idx="98">
                  <c:v>6027</c:v>
                </c:pt>
                <c:pt idx="99">
                  <c:v>25267</c:v>
                </c:pt>
                <c:pt idx="100">
                  <c:v>5900</c:v>
                </c:pt>
                <c:pt idx="101">
                  <c:v>11181</c:v>
                </c:pt>
                <c:pt idx="102">
                  <c:v>9592</c:v>
                </c:pt>
                <c:pt idx="103">
                  <c:v>5291</c:v>
                </c:pt>
                <c:pt idx="104">
                  <c:v>22244</c:v>
                </c:pt>
                <c:pt idx="105">
                  <c:v>6824</c:v>
                </c:pt>
                <c:pt idx="106">
                  <c:v>24112</c:v>
                </c:pt>
                <c:pt idx="107">
                  <c:v>25478</c:v>
                </c:pt>
                <c:pt idx="108">
                  <c:v>11235</c:v>
                </c:pt>
                <c:pt idx="109">
                  <c:v>6120</c:v>
                </c:pt>
                <c:pt idx="110">
                  <c:v>20572</c:v>
                </c:pt>
                <c:pt idx="111">
                  <c:v>14975</c:v>
                </c:pt>
                <c:pt idx="112">
                  <c:v>22234</c:v>
                </c:pt>
                <c:pt idx="113">
                  <c:v>6532</c:v>
                </c:pt>
                <c:pt idx="114">
                  <c:v>24858</c:v>
                </c:pt>
                <c:pt idx="115">
                  <c:v>13883</c:v>
                </c:pt>
                <c:pt idx="116">
                  <c:v>18654</c:v>
                </c:pt>
                <c:pt idx="117">
                  <c:v>25234</c:v>
                </c:pt>
                <c:pt idx="118">
                  <c:v>6772</c:v>
                </c:pt>
                <c:pt idx="119">
                  <c:v>22428</c:v>
                </c:pt>
                <c:pt idx="120">
                  <c:v>11911</c:v>
                </c:pt>
                <c:pt idx="121">
                  <c:v>21900</c:v>
                </c:pt>
                <c:pt idx="122">
                  <c:v>25542</c:v>
                </c:pt>
                <c:pt idx="123">
                  <c:v>7140</c:v>
                </c:pt>
                <c:pt idx="124">
                  <c:v>20474</c:v>
                </c:pt>
                <c:pt idx="125">
                  <c:v>8698</c:v>
                </c:pt>
                <c:pt idx="126">
                  <c:v>10402</c:v>
                </c:pt>
                <c:pt idx="127">
                  <c:v>26618</c:v>
                </c:pt>
                <c:pt idx="128">
                  <c:v>7975</c:v>
                </c:pt>
                <c:pt idx="129">
                  <c:v>19054</c:v>
                </c:pt>
                <c:pt idx="130">
                  <c:v>13740</c:v>
                </c:pt>
                <c:pt idx="131">
                  <c:v>18442</c:v>
                </c:pt>
                <c:pt idx="132">
                  <c:v>10104</c:v>
                </c:pt>
                <c:pt idx="133">
                  <c:v>21771</c:v>
                </c:pt>
                <c:pt idx="134">
                  <c:v>22191</c:v>
                </c:pt>
                <c:pt idx="135">
                  <c:v>27753</c:v>
                </c:pt>
                <c:pt idx="136">
                  <c:v>23736</c:v>
                </c:pt>
                <c:pt idx="137">
                  <c:v>27393</c:v>
                </c:pt>
                <c:pt idx="138">
                  <c:v>10343</c:v>
                </c:pt>
                <c:pt idx="139">
                  <c:v>25259</c:v>
                </c:pt>
                <c:pt idx="140">
                  <c:v>24827</c:v>
                </c:pt>
                <c:pt idx="141">
                  <c:v>11908</c:v>
                </c:pt>
                <c:pt idx="142">
                  <c:v>11005</c:v>
                </c:pt>
                <c:pt idx="143">
                  <c:v>26333</c:v>
                </c:pt>
                <c:pt idx="144">
                  <c:v>5495</c:v>
                </c:pt>
                <c:pt idx="145">
                  <c:v>15655</c:v>
                </c:pt>
                <c:pt idx="146">
                  <c:v>13763</c:v>
                </c:pt>
                <c:pt idx="147">
                  <c:v>26073</c:v>
                </c:pt>
                <c:pt idx="148">
                  <c:v>12774</c:v>
                </c:pt>
                <c:pt idx="149">
                  <c:v>19000</c:v>
                </c:pt>
                <c:pt idx="150">
                  <c:v>14051</c:v>
                </c:pt>
                <c:pt idx="151">
                  <c:v>27782</c:v>
                </c:pt>
                <c:pt idx="152">
                  <c:v>7859</c:v>
                </c:pt>
                <c:pt idx="153">
                  <c:v>15773</c:v>
                </c:pt>
                <c:pt idx="154">
                  <c:v>20595</c:v>
                </c:pt>
                <c:pt idx="155">
                  <c:v>12031</c:v>
                </c:pt>
                <c:pt idx="156">
                  <c:v>15128</c:v>
                </c:pt>
                <c:pt idx="157">
                  <c:v>11826</c:v>
                </c:pt>
                <c:pt idx="158">
                  <c:v>12562</c:v>
                </c:pt>
                <c:pt idx="159">
                  <c:v>13013</c:v>
                </c:pt>
                <c:pt idx="160">
                  <c:v>12937</c:v>
                </c:pt>
                <c:pt idx="161">
                  <c:v>14534</c:v>
                </c:pt>
                <c:pt idx="162">
                  <c:v>8182</c:v>
                </c:pt>
                <c:pt idx="163">
                  <c:v>10615</c:v>
                </c:pt>
                <c:pt idx="164">
                  <c:v>20109</c:v>
                </c:pt>
                <c:pt idx="165">
                  <c:v>26024</c:v>
                </c:pt>
                <c:pt idx="166">
                  <c:v>26730</c:v>
                </c:pt>
                <c:pt idx="167">
                  <c:v>10563</c:v>
                </c:pt>
                <c:pt idx="168">
                  <c:v>27575</c:v>
                </c:pt>
                <c:pt idx="169">
                  <c:v>14479</c:v>
                </c:pt>
                <c:pt idx="170">
                  <c:v>15915</c:v>
                </c:pt>
                <c:pt idx="171">
                  <c:v>12767</c:v>
                </c:pt>
                <c:pt idx="172">
                  <c:v>12170</c:v>
                </c:pt>
                <c:pt idx="173">
                  <c:v>7245</c:v>
                </c:pt>
                <c:pt idx="174">
                  <c:v>12985</c:v>
                </c:pt>
                <c:pt idx="175">
                  <c:v>16377</c:v>
                </c:pt>
                <c:pt idx="176">
                  <c:v>11453</c:v>
                </c:pt>
                <c:pt idx="177">
                  <c:v>12323</c:v>
                </c:pt>
                <c:pt idx="178">
                  <c:v>11911</c:v>
                </c:pt>
                <c:pt idx="179">
                  <c:v>27809</c:v>
                </c:pt>
                <c:pt idx="180">
                  <c:v>21464</c:v>
                </c:pt>
                <c:pt idx="181">
                  <c:v>27126</c:v>
                </c:pt>
                <c:pt idx="182">
                  <c:v>10681</c:v>
                </c:pt>
                <c:pt idx="183">
                  <c:v>5413</c:v>
                </c:pt>
                <c:pt idx="184">
                  <c:v>25058</c:v>
                </c:pt>
                <c:pt idx="185">
                  <c:v>18303</c:v>
                </c:pt>
                <c:pt idx="186">
                  <c:v>5526</c:v>
                </c:pt>
                <c:pt idx="187">
                  <c:v>17460</c:v>
                </c:pt>
                <c:pt idx="188">
                  <c:v>14475</c:v>
                </c:pt>
                <c:pt idx="189">
                  <c:v>20162</c:v>
                </c:pt>
                <c:pt idx="190">
                  <c:v>17103</c:v>
                </c:pt>
                <c:pt idx="191">
                  <c:v>15461</c:v>
                </c:pt>
                <c:pt idx="192">
                  <c:v>22103</c:v>
                </c:pt>
                <c:pt idx="193">
                  <c:v>11625</c:v>
                </c:pt>
                <c:pt idx="194">
                  <c:v>5281</c:v>
                </c:pt>
                <c:pt idx="195">
                  <c:v>13424</c:v>
                </c:pt>
                <c:pt idx="196">
                  <c:v>13140</c:v>
                </c:pt>
                <c:pt idx="197">
                  <c:v>19538</c:v>
                </c:pt>
                <c:pt idx="198">
                  <c:v>7881</c:v>
                </c:pt>
                <c:pt idx="199">
                  <c:v>11418</c:v>
                </c:pt>
              </c:numCache>
            </c:numRef>
          </c:xVal>
          <c:yVal>
            <c:numRef>
              <c:f>'Task 6.3'!$C$5:$C$204</c:f>
              <c:numCache>
                <c:formatCode>0</c:formatCode>
                <c:ptCount val="200"/>
                <c:pt idx="0">
                  <c:v>1334</c:v>
                </c:pt>
                <c:pt idx="1">
                  <c:v>909</c:v>
                </c:pt>
                <c:pt idx="2">
                  <c:v>1176</c:v>
                </c:pt>
                <c:pt idx="3">
                  <c:v>928</c:v>
                </c:pt>
                <c:pt idx="4">
                  <c:v>1397</c:v>
                </c:pt>
                <c:pt idx="5">
                  <c:v>452</c:v>
                </c:pt>
                <c:pt idx="6">
                  <c:v>590</c:v>
                </c:pt>
                <c:pt idx="7">
                  <c:v>1283</c:v>
                </c:pt>
                <c:pt idx="8">
                  <c:v>1302</c:v>
                </c:pt>
                <c:pt idx="9">
                  <c:v>612</c:v>
                </c:pt>
                <c:pt idx="10">
                  <c:v>1121</c:v>
                </c:pt>
                <c:pt idx="11">
                  <c:v>700</c:v>
                </c:pt>
                <c:pt idx="12">
                  <c:v>714</c:v>
                </c:pt>
                <c:pt idx="13">
                  <c:v>595</c:v>
                </c:pt>
                <c:pt idx="14">
                  <c:v>1117</c:v>
                </c:pt>
                <c:pt idx="15">
                  <c:v>667</c:v>
                </c:pt>
                <c:pt idx="16">
                  <c:v>1371</c:v>
                </c:pt>
                <c:pt idx="17">
                  <c:v>1117</c:v>
                </c:pt>
                <c:pt idx="18">
                  <c:v>359</c:v>
                </c:pt>
                <c:pt idx="19">
                  <c:v>1098</c:v>
                </c:pt>
                <c:pt idx="20">
                  <c:v>912</c:v>
                </c:pt>
                <c:pt idx="21">
                  <c:v>792</c:v>
                </c:pt>
                <c:pt idx="22">
                  <c:v>364</c:v>
                </c:pt>
                <c:pt idx="23">
                  <c:v>1125</c:v>
                </c:pt>
                <c:pt idx="24">
                  <c:v>869</c:v>
                </c:pt>
                <c:pt idx="25">
                  <c:v>414</c:v>
                </c:pt>
                <c:pt idx="26">
                  <c:v>849</c:v>
                </c:pt>
                <c:pt idx="27">
                  <c:v>1353</c:v>
                </c:pt>
                <c:pt idx="28">
                  <c:v>582</c:v>
                </c:pt>
                <c:pt idx="29">
                  <c:v>758</c:v>
                </c:pt>
                <c:pt idx="30">
                  <c:v>977</c:v>
                </c:pt>
                <c:pt idx="31">
                  <c:v>1191</c:v>
                </c:pt>
                <c:pt idx="32">
                  <c:v>904</c:v>
                </c:pt>
                <c:pt idx="33">
                  <c:v>909</c:v>
                </c:pt>
                <c:pt idx="34">
                  <c:v>382</c:v>
                </c:pt>
                <c:pt idx="35">
                  <c:v>1009</c:v>
                </c:pt>
                <c:pt idx="36">
                  <c:v>1022</c:v>
                </c:pt>
                <c:pt idx="37">
                  <c:v>262</c:v>
                </c:pt>
                <c:pt idx="38">
                  <c:v>1166</c:v>
                </c:pt>
                <c:pt idx="39">
                  <c:v>515</c:v>
                </c:pt>
                <c:pt idx="40">
                  <c:v>956</c:v>
                </c:pt>
                <c:pt idx="41">
                  <c:v>1031</c:v>
                </c:pt>
                <c:pt idx="42">
                  <c:v>637</c:v>
                </c:pt>
                <c:pt idx="43">
                  <c:v>1268</c:v>
                </c:pt>
                <c:pt idx="44">
                  <c:v>725</c:v>
                </c:pt>
                <c:pt idx="45">
                  <c:v>471</c:v>
                </c:pt>
                <c:pt idx="46">
                  <c:v>1291</c:v>
                </c:pt>
                <c:pt idx="47">
                  <c:v>400</c:v>
                </c:pt>
                <c:pt idx="48">
                  <c:v>1113</c:v>
                </c:pt>
                <c:pt idx="49">
                  <c:v>1198</c:v>
                </c:pt>
                <c:pt idx="50">
                  <c:v>474</c:v>
                </c:pt>
                <c:pt idx="51">
                  <c:v>1132</c:v>
                </c:pt>
                <c:pt idx="52">
                  <c:v>844</c:v>
                </c:pt>
                <c:pt idx="53">
                  <c:v>1175</c:v>
                </c:pt>
                <c:pt idx="54">
                  <c:v>559</c:v>
                </c:pt>
                <c:pt idx="55">
                  <c:v>554</c:v>
                </c:pt>
                <c:pt idx="56">
                  <c:v>1225</c:v>
                </c:pt>
                <c:pt idx="57">
                  <c:v>892</c:v>
                </c:pt>
                <c:pt idx="58">
                  <c:v>536</c:v>
                </c:pt>
                <c:pt idx="59">
                  <c:v>1242</c:v>
                </c:pt>
                <c:pt idx="60">
                  <c:v>948</c:v>
                </c:pt>
                <c:pt idx="61">
                  <c:v>762</c:v>
                </c:pt>
                <c:pt idx="62">
                  <c:v>1082</c:v>
                </c:pt>
                <c:pt idx="63">
                  <c:v>1174</c:v>
                </c:pt>
                <c:pt idx="64">
                  <c:v>464</c:v>
                </c:pt>
                <c:pt idx="65">
                  <c:v>543</c:v>
                </c:pt>
                <c:pt idx="66">
                  <c:v>1202</c:v>
                </c:pt>
                <c:pt idx="67">
                  <c:v>1390</c:v>
                </c:pt>
                <c:pt idx="68">
                  <c:v>984</c:v>
                </c:pt>
                <c:pt idx="69">
                  <c:v>1204</c:v>
                </c:pt>
                <c:pt idx="70">
                  <c:v>532</c:v>
                </c:pt>
                <c:pt idx="71">
                  <c:v>1058</c:v>
                </c:pt>
                <c:pt idx="72">
                  <c:v>676</c:v>
                </c:pt>
                <c:pt idx="73">
                  <c:v>577</c:v>
                </c:pt>
                <c:pt idx="74">
                  <c:v>682</c:v>
                </c:pt>
                <c:pt idx="75">
                  <c:v>450</c:v>
                </c:pt>
                <c:pt idx="76">
                  <c:v>683</c:v>
                </c:pt>
                <c:pt idx="77">
                  <c:v>1154</c:v>
                </c:pt>
                <c:pt idx="78">
                  <c:v>808</c:v>
                </c:pt>
                <c:pt idx="79">
                  <c:v>871</c:v>
                </c:pt>
                <c:pt idx="80">
                  <c:v>704</c:v>
                </c:pt>
                <c:pt idx="81">
                  <c:v>611</c:v>
                </c:pt>
                <c:pt idx="82">
                  <c:v>405</c:v>
                </c:pt>
                <c:pt idx="83">
                  <c:v>382</c:v>
                </c:pt>
                <c:pt idx="84">
                  <c:v>1117</c:v>
                </c:pt>
                <c:pt idx="85">
                  <c:v>477</c:v>
                </c:pt>
                <c:pt idx="86">
                  <c:v>1099</c:v>
                </c:pt>
                <c:pt idx="87">
                  <c:v>567</c:v>
                </c:pt>
                <c:pt idx="88">
                  <c:v>1133</c:v>
                </c:pt>
                <c:pt idx="89">
                  <c:v>850</c:v>
                </c:pt>
                <c:pt idx="90">
                  <c:v>413</c:v>
                </c:pt>
                <c:pt idx="91">
                  <c:v>1387</c:v>
                </c:pt>
                <c:pt idx="92">
                  <c:v>537</c:v>
                </c:pt>
                <c:pt idx="93">
                  <c:v>443</c:v>
                </c:pt>
                <c:pt idx="94">
                  <c:v>1283</c:v>
                </c:pt>
                <c:pt idx="95">
                  <c:v>725</c:v>
                </c:pt>
                <c:pt idx="96">
                  <c:v>467</c:v>
                </c:pt>
                <c:pt idx="97">
                  <c:v>1354</c:v>
                </c:pt>
                <c:pt idx="98">
                  <c:v>520</c:v>
                </c:pt>
                <c:pt idx="99">
                  <c:v>442</c:v>
                </c:pt>
                <c:pt idx="100">
                  <c:v>546</c:v>
                </c:pt>
                <c:pt idx="101">
                  <c:v>844</c:v>
                </c:pt>
                <c:pt idx="102">
                  <c:v>341</c:v>
                </c:pt>
                <c:pt idx="103">
                  <c:v>869</c:v>
                </c:pt>
                <c:pt idx="104">
                  <c:v>718</c:v>
                </c:pt>
                <c:pt idx="105">
                  <c:v>735</c:v>
                </c:pt>
                <c:pt idx="106">
                  <c:v>523</c:v>
                </c:pt>
                <c:pt idx="107">
                  <c:v>422</c:v>
                </c:pt>
                <c:pt idx="108">
                  <c:v>915</c:v>
                </c:pt>
                <c:pt idx="109">
                  <c:v>1108</c:v>
                </c:pt>
                <c:pt idx="110">
                  <c:v>338</c:v>
                </c:pt>
                <c:pt idx="111">
                  <c:v>724</c:v>
                </c:pt>
                <c:pt idx="112">
                  <c:v>463</c:v>
                </c:pt>
                <c:pt idx="113">
                  <c:v>356</c:v>
                </c:pt>
                <c:pt idx="114">
                  <c:v>378</c:v>
                </c:pt>
                <c:pt idx="115">
                  <c:v>636</c:v>
                </c:pt>
                <c:pt idx="116">
                  <c:v>699</c:v>
                </c:pt>
                <c:pt idx="117">
                  <c:v>1279</c:v>
                </c:pt>
                <c:pt idx="118">
                  <c:v>1006</c:v>
                </c:pt>
                <c:pt idx="119">
                  <c:v>478</c:v>
                </c:pt>
                <c:pt idx="120">
                  <c:v>545</c:v>
                </c:pt>
                <c:pt idx="121">
                  <c:v>1005</c:v>
                </c:pt>
                <c:pt idx="122">
                  <c:v>765</c:v>
                </c:pt>
                <c:pt idx="123">
                  <c:v>564</c:v>
                </c:pt>
                <c:pt idx="124">
                  <c:v>496</c:v>
                </c:pt>
                <c:pt idx="125">
                  <c:v>1128</c:v>
                </c:pt>
                <c:pt idx="126">
                  <c:v>565</c:v>
                </c:pt>
                <c:pt idx="127">
                  <c:v>813</c:v>
                </c:pt>
                <c:pt idx="128">
                  <c:v>1301</c:v>
                </c:pt>
                <c:pt idx="129">
                  <c:v>436</c:v>
                </c:pt>
                <c:pt idx="130">
                  <c:v>978</c:v>
                </c:pt>
                <c:pt idx="131">
                  <c:v>1367</c:v>
                </c:pt>
                <c:pt idx="132">
                  <c:v>1337</c:v>
                </c:pt>
                <c:pt idx="133">
                  <c:v>1014</c:v>
                </c:pt>
                <c:pt idx="134">
                  <c:v>940</c:v>
                </c:pt>
                <c:pt idx="135">
                  <c:v>690</c:v>
                </c:pt>
                <c:pt idx="136">
                  <c:v>1335</c:v>
                </c:pt>
                <c:pt idx="137">
                  <c:v>1191</c:v>
                </c:pt>
                <c:pt idx="138">
                  <c:v>353</c:v>
                </c:pt>
                <c:pt idx="139">
                  <c:v>486</c:v>
                </c:pt>
                <c:pt idx="140">
                  <c:v>889</c:v>
                </c:pt>
                <c:pt idx="141">
                  <c:v>983</c:v>
                </c:pt>
                <c:pt idx="142">
                  <c:v>581</c:v>
                </c:pt>
                <c:pt idx="143">
                  <c:v>814</c:v>
                </c:pt>
                <c:pt idx="144">
                  <c:v>919</c:v>
                </c:pt>
                <c:pt idx="145">
                  <c:v>676</c:v>
                </c:pt>
                <c:pt idx="146">
                  <c:v>459</c:v>
                </c:pt>
                <c:pt idx="147">
                  <c:v>576</c:v>
                </c:pt>
                <c:pt idx="148">
                  <c:v>447</c:v>
                </c:pt>
                <c:pt idx="149">
                  <c:v>377</c:v>
                </c:pt>
                <c:pt idx="150">
                  <c:v>932</c:v>
                </c:pt>
                <c:pt idx="151">
                  <c:v>1356</c:v>
                </c:pt>
                <c:pt idx="152">
                  <c:v>1281</c:v>
                </c:pt>
                <c:pt idx="153">
                  <c:v>1041</c:v>
                </c:pt>
                <c:pt idx="154">
                  <c:v>1184</c:v>
                </c:pt>
                <c:pt idx="155">
                  <c:v>684</c:v>
                </c:pt>
                <c:pt idx="156">
                  <c:v>354</c:v>
                </c:pt>
                <c:pt idx="157">
                  <c:v>1126</c:v>
                </c:pt>
                <c:pt idx="158">
                  <c:v>569</c:v>
                </c:pt>
                <c:pt idx="159">
                  <c:v>730</c:v>
                </c:pt>
                <c:pt idx="160">
                  <c:v>578</c:v>
                </c:pt>
                <c:pt idx="161">
                  <c:v>935</c:v>
                </c:pt>
                <c:pt idx="162">
                  <c:v>698</c:v>
                </c:pt>
                <c:pt idx="163">
                  <c:v>325</c:v>
                </c:pt>
                <c:pt idx="164">
                  <c:v>994</c:v>
                </c:pt>
                <c:pt idx="165">
                  <c:v>320</c:v>
                </c:pt>
                <c:pt idx="166">
                  <c:v>544</c:v>
                </c:pt>
                <c:pt idx="167">
                  <c:v>520</c:v>
                </c:pt>
                <c:pt idx="168">
                  <c:v>485</c:v>
                </c:pt>
                <c:pt idx="169">
                  <c:v>1234</c:v>
                </c:pt>
                <c:pt idx="170">
                  <c:v>596</c:v>
                </c:pt>
                <c:pt idx="171">
                  <c:v>831</c:v>
                </c:pt>
                <c:pt idx="172">
                  <c:v>1033</c:v>
                </c:pt>
                <c:pt idx="173">
                  <c:v>805</c:v>
                </c:pt>
                <c:pt idx="174">
                  <c:v>1274</c:v>
                </c:pt>
                <c:pt idx="175">
                  <c:v>428</c:v>
                </c:pt>
                <c:pt idx="176">
                  <c:v>952</c:v>
                </c:pt>
                <c:pt idx="177">
                  <c:v>951</c:v>
                </c:pt>
                <c:pt idx="178">
                  <c:v>604</c:v>
                </c:pt>
                <c:pt idx="179">
                  <c:v>1139</c:v>
                </c:pt>
                <c:pt idx="180">
                  <c:v>567</c:v>
                </c:pt>
                <c:pt idx="181">
                  <c:v>1282</c:v>
                </c:pt>
                <c:pt idx="182">
                  <c:v>1387</c:v>
                </c:pt>
                <c:pt idx="183">
                  <c:v>667</c:v>
                </c:pt>
                <c:pt idx="184">
                  <c:v>499</c:v>
                </c:pt>
                <c:pt idx="185">
                  <c:v>523</c:v>
                </c:pt>
                <c:pt idx="186">
                  <c:v>896</c:v>
                </c:pt>
                <c:pt idx="187">
                  <c:v>702</c:v>
                </c:pt>
                <c:pt idx="188">
                  <c:v>749</c:v>
                </c:pt>
                <c:pt idx="189">
                  <c:v>333</c:v>
                </c:pt>
                <c:pt idx="190">
                  <c:v>647</c:v>
                </c:pt>
                <c:pt idx="191">
                  <c:v>839</c:v>
                </c:pt>
                <c:pt idx="192">
                  <c:v>960</c:v>
                </c:pt>
                <c:pt idx="193">
                  <c:v>1168</c:v>
                </c:pt>
                <c:pt idx="194">
                  <c:v>518</c:v>
                </c:pt>
                <c:pt idx="195">
                  <c:v>872</c:v>
                </c:pt>
                <c:pt idx="196">
                  <c:v>302</c:v>
                </c:pt>
                <c:pt idx="197">
                  <c:v>250</c:v>
                </c:pt>
                <c:pt idx="198">
                  <c:v>820</c:v>
                </c:pt>
                <c:pt idx="199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B0-44FA-9B3B-880A26263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877967"/>
        <c:axId val="1249876527"/>
      </c:scatterChart>
      <c:valAx>
        <c:axId val="124987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</a:t>
                </a:r>
                <a:r>
                  <a:rPr lang="en-IN" baseline="0"/>
                  <a:t> Spend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876527"/>
        <c:crosses val="autoZero"/>
        <c:crossBetween val="midCat"/>
      </c:valAx>
      <c:valAx>
        <c:axId val="124987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Follwer</a:t>
                </a:r>
                <a:r>
                  <a:rPr lang="en-IN" baseline="0"/>
                  <a:t> Growth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87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000000">
          <a:alpha val="99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 of Spotify social media performace data  - Copy - Copy - Copy - Copy - Copy.xlsx]Task 6.2!PivotTable4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Net follower </a:t>
            </a:r>
            <a:endParaRPr lang="en-US"/>
          </a:p>
        </c:rich>
      </c:tx>
      <c:layout>
        <c:manualLayout>
          <c:xMode val="edge"/>
          <c:yMode val="edge"/>
          <c:x val="0.39522578421234056"/>
          <c:y val="5.39738643127893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593577716661013E-2"/>
          <c:y val="0.18918671842666374"/>
          <c:w val="0.89449810998505586"/>
          <c:h val="0.49415368737590437"/>
        </c:manualLayout>
      </c:layout>
      <c:lineChart>
        <c:grouping val="standard"/>
        <c:varyColors val="0"/>
        <c:ser>
          <c:idx val="0"/>
          <c:order val="0"/>
          <c:tx>
            <c:strRef>
              <c:f>'Task 6.2'!$B$5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4"/>
            <c:dispRSqr val="0"/>
            <c:dispEq val="0"/>
          </c:trendline>
          <c:cat>
            <c:strRef>
              <c:f>'Task 6.2'!$A$6:$A$73</c:f>
              <c:strCache>
                <c:ptCount val="67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19-05-2025</c:v>
                </c:pt>
                <c:pt idx="51">
                  <c:v>26-05-2025</c:v>
                </c:pt>
                <c:pt idx="52">
                  <c:v>02-06-2025</c:v>
                </c:pt>
                <c:pt idx="53">
                  <c:v>09-06-2025</c:v>
                </c:pt>
                <c:pt idx="54">
                  <c:v>16-06-2025</c:v>
                </c:pt>
                <c:pt idx="55">
                  <c:v>23-06-2025</c:v>
                </c:pt>
                <c:pt idx="56">
                  <c:v>30-06-2025</c:v>
                </c:pt>
                <c:pt idx="57">
                  <c:v>07-07-2025</c:v>
                </c:pt>
                <c:pt idx="58">
                  <c:v>14-07-2025</c:v>
                </c:pt>
                <c:pt idx="59">
                  <c:v>21-07-2025</c:v>
                </c:pt>
                <c:pt idx="60">
                  <c:v>28-07-2025</c:v>
                </c:pt>
                <c:pt idx="61">
                  <c:v>04-08-2025</c:v>
                </c:pt>
                <c:pt idx="62">
                  <c:v>11-08-2025</c:v>
                </c:pt>
                <c:pt idx="63">
                  <c:v>18-08-2025</c:v>
                </c:pt>
                <c:pt idx="64">
                  <c:v>25-08-2025</c:v>
                </c:pt>
                <c:pt idx="65">
                  <c:v>01-09-2025</c:v>
                </c:pt>
                <c:pt idx="66">
                  <c:v>08-09-2025</c:v>
                </c:pt>
              </c:strCache>
            </c:strRef>
          </c:cat>
          <c:val>
            <c:numRef>
              <c:f>'Task 6.2'!$B$6:$B$73</c:f>
              <c:numCache>
                <c:formatCode>0</c:formatCode>
                <c:ptCount val="67"/>
                <c:pt idx="0">
                  <c:v>3419</c:v>
                </c:pt>
                <c:pt idx="1">
                  <c:v>2777</c:v>
                </c:pt>
                <c:pt idx="2">
                  <c:v>3175</c:v>
                </c:pt>
                <c:pt idx="3">
                  <c:v>2433</c:v>
                </c:pt>
                <c:pt idx="4">
                  <c:v>2426</c:v>
                </c:pt>
                <c:pt idx="5">
                  <c:v>3155</c:v>
                </c:pt>
                <c:pt idx="6">
                  <c:v>2369</c:v>
                </c:pt>
                <c:pt idx="7">
                  <c:v>2281</c:v>
                </c:pt>
                <c:pt idx="8">
                  <c:v>2132</c:v>
                </c:pt>
                <c:pt idx="9">
                  <c:v>2693</c:v>
                </c:pt>
                <c:pt idx="10">
                  <c:v>3072</c:v>
                </c:pt>
                <c:pt idx="11">
                  <c:v>2300</c:v>
                </c:pt>
                <c:pt idx="12">
                  <c:v>2450</c:v>
                </c:pt>
                <c:pt idx="13">
                  <c:v>2502</c:v>
                </c:pt>
                <c:pt idx="14">
                  <c:v>2630</c:v>
                </c:pt>
                <c:pt idx="15">
                  <c:v>2162</c:v>
                </c:pt>
                <c:pt idx="16">
                  <c:v>2785</c:v>
                </c:pt>
                <c:pt idx="17">
                  <c:v>3151</c:v>
                </c:pt>
                <c:pt idx="18">
                  <c:v>2338</c:v>
                </c:pt>
                <c:pt idx="19">
                  <c:v>2670</c:v>
                </c:pt>
                <c:pt idx="20">
                  <c:v>2792</c:v>
                </c:pt>
                <c:pt idx="21">
                  <c:v>2181</c:v>
                </c:pt>
                <c:pt idx="22">
                  <c:v>3576</c:v>
                </c:pt>
                <c:pt idx="23">
                  <c:v>2794</c:v>
                </c:pt>
                <c:pt idx="24">
                  <c:v>1935</c:v>
                </c:pt>
                <c:pt idx="25">
                  <c:v>2287</c:v>
                </c:pt>
                <c:pt idx="26">
                  <c:v>2383</c:v>
                </c:pt>
                <c:pt idx="27">
                  <c:v>1398</c:v>
                </c:pt>
                <c:pt idx="28">
                  <c:v>2693</c:v>
                </c:pt>
                <c:pt idx="29">
                  <c:v>2550</c:v>
                </c:pt>
                <c:pt idx="30">
                  <c:v>2337</c:v>
                </c:pt>
                <c:pt idx="31">
                  <c:v>2451</c:v>
                </c:pt>
                <c:pt idx="32">
                  <c:v>2341</c:v>
                </c:pt>
                <c:pt idx="33">
                  <c:v>1832</c:v>
                </c:pt>
                <c:pt idx="34">
                  <c:v>1928</c:v>
                </c:pt>
                <c:pt idx="35">
                  <c:v>1680</c:v>
                </c:pt>
                <c:pt idx="36">
                  <c:v>2361</c:v>
                </c:pt>
                <c:pt idx="37">
                  <c:v>1543</c:v>
                </c:pt>
                <c:pt idx="38">
                  <c:v>1713</c:v>
                </c:pt>
                <c:pt idx="39">
                  <c:v>2763</c:v>
                </c:pt>
                <c:pt idx="40">
                  <c:v>2315</c:v>
                </c:pt>
                <c:pt idx="41">
                  <c:v>2188</c:v>
                </c:pt>
                <c:pt idx="42">
                  <c:v>2679</c:v>
                </c:pt>
                <c:pt idx="43">
                  <c:v>2781</c:v>
                </c:pt>
                <c:pt idx="44">
                  <c:v>3291</c:v>
                </c:pt>
                <c:pt idx="45">
                  <c:v>3216</c:v>
                </c:pt>
                <c:pt idx="46">
                  <c:v>1728</c:v>
                </c:pt>
                <c:pt idx="47">
                  <c:v>2378</c:v>
                </c:pt>
                <c:pt idx="48">
                  <c:v>2054</c:v>
                </c:pt>
                <c:pt idx="49">
                  <c:v>1400</c:v>
                </c:pt>
                <c:pt idx="50">
                  <c:v>3569</c:v>
                </c:pt>
                <c:pt idx="51">
                  <c:v>2909</c:v>
                </c:pt>
                <c:pt idx="52">
                  <c:v>2049</c:v>
                </c:pt>
                <c:pt idx="53">
                  <c:v>2243</c:v>
                </c:pt>
                <c:pt idx="54">
                  <c:v>2017</c:v>
                </c:pt>
                <c:pt idx="55">
                  <c:v>1384</c:v>
                </c:pt>
                <c:pt idx="56">
                  <c:v>2315</c:v>
                </c:pt>
                <c:pt idx="57">
                  <c:v>2669</c:v>
                </c:pt>
                <c:pt idx="58">
                  <c:v>2654</c:v>
                </c:pt>
                <c:pt idx="59">
                  <c:v>2694</c:v>
                </c:pt>
                <c:pt idx="60">
                  <c:v>3236</c:v>
                </c:pt>
                <c:pt idx="61">
                  <c:v>1689</c:v>
                </c:pt>
                <c:pt idx="62">
                  <c:v>2347</c:v>
                </c:pt>
                <c:pt idx="63">
                  <c:v>1819</c:v>
                </c:pt>
                <c:pt idx="64">
                  <c:v>2646</c:v>
                </c:pt>
                <c:pt idx="65">
                  <c:v>1424</c:v>
                </c:pt>
                <c:pt idx="66">
                  <c:v>1436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4-4FF9-B8B1-6758CE5CA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707056"/>
        <c:axId val="1397703216"/>
      </c:lineChart>
      <c:catAx>
        <c:axId val="1397707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</a:t>
                </a:r>
                <a:r>
                  <a:rPr lang="en-IN" baseline="0"/>
                  <a:t> Days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03216"/>
        <c:crosses val="autoZero"/>
        <c:auto val="1"/>
        <c:lblAlgn val="ctr"/>
        <c:lblOffset val="100"/>
        <c:noMultiLvlLbl val="0"/>
      </c:catAx>
      <c:valAx>
        <c:axId val="1397703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 Follower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0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26234160921267"/>
          <c:y val="3.642321655900763E-3"/>
          <c:w val="0.19913159778472667"/>
          <c:h val="0.114771244911751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000000">
          <a:alpha val="91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Ad</a:t>
            </a:r>
            <a:r>
              <a:rPr lang="en-US" b="1" baseline="0"/>
              <a:t> Spend vs Follower Growth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6.3'!$C$4</c:f>
              <c:strCache>
                <c:ptCount val="1"/>
                <c:pt idx="0">
                  <c:v>Net Followers gain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'Task 6.3'!$B$5:$B$204</c:f>
              <c:numCache>
                <c:formatCode>_ [$₹-4009]\ * #,##0.00_ ;_ [$₹-4009]\ * \-#,##0.00_ ;_ [$₹-4009]\ * "-"??_ ;_ @_ </c:formatCode>
                <c:ptCount val="200"/>
                <c:pt idx="0">
                  <c:v>23125</c:v>
                </c:pt>
                <c:pt idx="1">
                  <c:v>22788</c:v>
                </c:pt>
                <c:pt idx="2">
                  <c:v>7810</c:v>
                </c:pt>
                <c:pt idx="3">
                  <c:v>11966</c:v>
                </c:pt>
                <c:pt idx="4">
                  <c:v>26298</c:v>
                </c:pt>
                <c:pt idx="5">
                  <c:v>22029</c:v>
                </c:pt>
                <c:pt idx="6">
                  <c:v>12391</c:v>
                </c:pt>
                <c:pt idx="7">
                  <c:v>14477</c:v>
                </c:pt>
                <c:pt idx="8">
                  <c:v>25040</c:v>
                </c:pt>
                <c:pt idx="9">
                  <c:v>22619</c:v>
                </c:pt>
                <c:pt idx="10">
                  <c:v>12399</c:v>
                </c:pt>
                <c:pt idx="11">
                  <c:v>22456</c:v>
                </c:pt>
                <c:pt idx="12">
                  <c:v>19328</c:v>
                </c:pt>
                <c:pt idx="13">
                  <c:v>21107</c:v>
                </c:pt>
                <c:pt idx="14">
                  <c:v>12277</c:v>
                </c:pt>
                <c:pt idx="15">
                  <c:v>11684</c:v>
                </c:pt>
                <c:pt idx="16">
                  <c:v>14412</c:v>
                </c:pt>
                <c:pt idx="17">
                  <c:v>15924</c:v>
                </c:pt>
                <c:pt idx="18">
                  <c:v>12390</c:v>
                </c:pt>
                <c:pt idx="19">
                  <c:v>25742</c:v>
                </c:pt>
                <c:pt idx="20">
                  <c:v>10495</c:v>
                </c:pt>
                <c:pt idx="21">
                  <c:v>7797</c:v>
                </c:pt>
                <c:pt idx="22">
                  <c:v>15595</c:v>
                </c:pt>
                <c:pt idx="23">
                  <c:v>24617</c:v>
                </c:pt>
                <c:pt idx="24">
                  <c:v>9847</c:v>
                </c:pt>
                <c:pt idx="25">
                  <c:v>13644</c:v>
                </c:pt>
                <c:pt idx="26">
                  <c:v>11421</c:v>
                </c:pt>
                <c:pt idx="27">
                  <c:v>15613</c:v>
                </c:pt>
                <c:pt idx="28">
                  <c:v>23900</c:v>
                </c:pt>
                <c:pt idx="29">
                  <c:v>5836</c:v>
                </c:pt>
                <c:pt idx="30">
                  <c:v>5624</c:v>
                </c:pt>
                <c:pt idx="31">
                  <c:v>10311</c:v>
                </c:pt>
                <c:pt idx="32">
                  <c:v>8274</c:v>
                </c:pt>
                <c:pt idx="33">
                  <c:v>6031</c:v>
                </c:pt>
                <c:pt idx="34">
                  <c:v>27829</c:v>
                </c:pt>
                <c:pt idx="35">
                  <c:v>18267</c:v>
                </c:pt>
                <c:pt idx="36">
                  <c:v>26624</c:v>
                </c:pt>
                <c:pt idx="37">
                  <c:v>26644</c:v>
                </c:pt>
                <c:pt idx="38">
                  <c:v>13051</c:v>
                </c:pt>
                <c:pt idx="39">
                  <c:v>14217</c:v>
                </c:pt>
                <c:pt idx="40">
                  <c:v>16385</c:v>
                </c:pt>
                <c:pt idx="41">
                  <c:v>24548</c:v>
                </c:pt>
                <c:pt idx="42">
                  <c:v>9195</c:v>
                </c:pt>
                <c:pt idx="43">
                  <c:v>18071</c:v>
                </c:pt>
                <c:pt idx="44">
                  <c:v>16875</c:v>
                </c:pt>
                <c:pt idx="45">
                  <c:v>9567</c:v>
                </c:pt>
                <c:pt idx="46">
                  <c:v>20306</c:v>
                </c:pt>
                <c:pt idx="47">
                  <c:v>21134</c:v>
                </c:pt>
                <c:pt idx="48">
                  <c:v>26872</c:v>
                </c:pt>
                <c:pt idx="49">
                  <c:v>10253</c:v>
                </c:pt>
                <c:pt idx="50">
                  <c:v>23963</c:v>
                </c:pt>
                <c:pt idx="51">
                  <c:v>11335</c:v>
                </c:pt>
                <c:pt idx="52">
                  <c:v>12115</c:v>
                </c:pt>
                <c:pt idx="53">
                  <c:v>24358</c:v>
                </c:pt>
                <c:pt idx="54">
                  <c:v>12181</c:v>
                </c:pt>
                <c:pt idx="55">
                  <c:v>17729</c:v>
                </c:pt>
                <c:pt idx="56">
                  <c:v>10881</c:v>
                </c:pt>
                <c:pt idx="57">
                  <c:v>18576</c:v>
                </c:pt>
                <c:pt idx="58">
                  <c:v>9383</c:v>
                </c:pt>
                <c:pt idx="59">
                  <c:v>14178</c:v>
                </c:pt>
                <c:pt idx="60">
                  <c:v>21254</c:v>
                </c:pt>
                <c:pt idx="61">
                  <c:v>14215</c:v>
                </c:pt>
                <c:pt idx="62">
                  <c:v>16921</c:v>
                </c:pt>
                <c:pt idx="63">
                  <c:v>25130</c:v>
                </c:pt>
                <c:pt idx="64">
                  <c:v>25537</c:v>
                </c:pt>
                <c:pt idx="65">
                  <c:v>24943</c:v>
                </c:pt>
                <c:pt idx="66">
                  <c:v>14563</c:v>
                </c:pt>
                <c:pt idx="67">
                  <c:v>26273</c:v>
                </c:pt>
                <c:pt idx="68">
                  <c:v>10858</c:v>
                </c:pt>
                <c:pt idx="69">
                  <c:v>25038</c:v>
                </c:pt>
                <c:pt idx="70">
                  <c:v>9092</c:v>
                </c:pt>
                <c:pt idx="71">
                  <c:v>17662</c:v>
                </c:pt>
                <c:pt idx="72">
                  <c:v>5924</c:v>
                </c:pt>
                <c:pt idx="73">
                  <c:v>25347</c:v>
                </c:pt>
                <c:pt idx="74">
                  <c:v>8910</c:v>
                </c:pt>
                <c:pt idx="75">
                  <c:v>20438</c:v>
                </c:pt>
                <c:pt idx="76">
                  <c:v>8760</c:v>
                </c:pt>
                <c:pt idx="77">
                  <c:v>6625</c:v>
                </c:pt>
                <c:pt idx="78">
                  <c:v>23329</c:v>
                </c:pt>
                <c:pt idx="79">
                  <c:v>7299</c:v>
                </c:pt>
                <c:pt idx="80">
                  <c:v>14496</c:v>
                </c:pt>
                <c:pt idx="81">
                  <c:v>25703</c:v>
                </c:pt>
                <c:pt idx="82">
                  <c:v>15108</c:v>
                </c:pt>
                <c:pt idx="83">
                  <c:v>18867</c:v>
                </c:pt>
                <c:pt idx="84">
                  <c:v>17574</c:v>
                </c:pt>
                <c:pt idx="85">
                  <c:v>12840</c:v>
                </c:pt>
                <c:pt idx="86">
                  <c:v>21079</c:v>
                </c:pt>
                <c:pt idx="87">
                  <c:v>23486</c:v>
                </c:pt>
                <c:pt idx="88">
                  <c:v>5960</c:v>
                </c:pt>
                <c:pt idx="89">
                  <c:v>13301</c:v>
                </c:pt>
                <c:pt idx="90">
                  <c:v>10563</c:v>
                </c:pt>
                <c:pt idx="91">
                  <c:v>19949</c:v>
                </c:pt>
                <c:pt idx="92">
                  <c:v>14273</c:v>
                </c:pt>
                <c:pt idx="93">
                  <c:v>9247</c:v>
                </c:pt>
                <c:pt idx="94">
                  <c:v>11972</c:v>
                </c:pt>
                <c:pt idx="95">
                  <c:v>13314</c:v>
                </c:pt>
                <c:pt idx="96">
                  <c:v>14749</c:v>
                </c:pt>
                <c:pt idx="97">
                  <c:v>6868</c:v>
                </c:pt>
                <c:pt idx="98">
                  <c:v>6027</c:v>
                </c:pt>
                <c:pt idx="99">
                  <c:v>25267</c:v>
                </c:pt>
                <c:pt idx="100">
                  <c:v>5900</c:v>
                </c:pt>
                <c:pt idx="101">
                  <c:v>11181</c:v>
                </c:pt>
                <c:pt idx="102">
                  <c:v>9592</c:v>
                </c:pt>
                <c:pt idx="103">
                  <c:v>5291</c:v>
                </c:pt>
                <c:pt idx="104">
                  <c:v>22244</c:v>
                </c:pt>
                <c:pt idx="105">
                  <c:v>6824</c:v>
                </c:pt>
                <c:pt idx="106">
                  <c:v>24112</c:v>
                </c:pt>
                <c:pt idx="107">
                  <c:v>25478</c:v>
                </c:pt>
                <c:pt idx="108">
                  <c:v>11235</c:v>
                </c:pt>
                <c:pt idx="109">
                  <c:v>6120</c:v>
                </c:pt>
                <c:pt idx="110">
                  <c:v>20572</c:v>
                </c:pt>
                <c:pt idx="111">
                  <c:v>14975</c:v>
                </c:pt>
                <c:pt idx="112">
                  <c:v>22234</c:v>
                </c:pt>
                <c:pt idx="113">
                  <c:v>6532</c:v>
                </c:pt>
                <c:pt idx="114">
                  <c:v>24858</c:v>
                </c:pt>
                <c:pt idx="115">
                  <c:v>13883</c:v>
                </c:pt>
                <c:pt idx="116">
                  <c:v>18654</c:v>
                </c:pt>
                <c:pt idx="117">
                  <c:v>25234</c:v>
                </c:pt>
                <c:pt idx="118">
                  <c:v>6772</c:v>
                </c:pt>
                <c:pt idx="119">
                  <c:v>22428</c:v>
                </c:pt>
                <c:pt idx="120">
                  <c:v>11911</c:v>
                </c:pt>
                <c:pt idx="121">
                  <c:v>21900</c:v>
                </c:pt>
                <c:pt idx="122">
                  <c:v>25542</c:v>
                </c:pt>
                <c:pt idx="123">
                  <c:v>7140</c:v>
                </c:pt>
                <c:pt idx="124">
                  <c:v>20474</c:v>
                </c:pt>
                <c:pt idx="125">
                  <c:v>8698</c:v>
                </c:pt>
                <c:pt idx="126">
                  <c:v>10402</c:v>
                </c:pt>
                <c:pt idx="127">
                  <c:v>26618</c:v>
                </c:pt>
                <c:pt idx="128">
                  <c:v>7975</c:v>
                </c:pt>
                <c:pt idx="129">
                  <c:v>19054</c:v>
                </c:pt>
                <c:pt idx="130">
                  <c:v>13740</c:v>
                </c:pt>
                <c:pt idx="131">
                  <c:v>18442</c:v>
                </c:pt>
                <c:pt idx="132">
                  <c:v>10104</c:v>
                </c:pt>
                <c:pt idx="133">
                  <c:v>21771</c:v>
                </c:pt>
                <c:pt idx="134">
                  <c:v>22191</c:v>
                </c:pt>
                <c:pt idx="135">
                  <c:v>27753</c:v>
                </c:pt>
                <c:pt idx="136">
                  <c:v>23736</c:v>
                </c:pt>
                <c:pt idx="137">
                  <c:v>27393</c:v>
                </c:pt>
                <c:pt idx="138">
                  <c:v>10343</c:v>
                </c:pt>
                <c:pt idx="139">
                  <c:v>25259</c:v>
                </c:pt>
                <c:pt idx="140">
                  <c:v>24827</c:v>
                </c:pt>
                <c:pt idx="141">
                  <c:v>11908</c:v>
                </c:pt>
                <c:pt idx="142">
                  <c:v>11005</c:v>
                </c:pt>
                <c:pt idx="143">
                  <c:v>26333</c:v>
                </c:pt>
                <c:pt idx="144">
                  <c:v>5495</c:v>
                </c:pt>
                <c:pt idx="145">
                  <c:v>15655</c:v>
                </c:pt>
                <c:pt idx="146">
                  <c:v>13763</c:v>
                </c:pt>
                <c:pt idx="147">
                  <c:v>26073</c:v>
                </c:pt>
                <c:pt idx="148">
                  <c:v>12774</c:v>
                </c:pt>
                <c:pt idx="149">
                  <c:v>19000</c:v>
                </c:pt>
                <c:pt idx="150">
                  <c:v>14051</c:v>
                </c:pt>
                <c:pt idx="151">
                  <c:v>27782</c:v>
                </c:pt>
                <c:pt idx="152">
                  <c:v>7859</c:v>
                </c:pt>
                <c:pt idx="153">
                  <c:v>15773</c:v>
                </c:pt>
                <c:pt idx="154">
                  <c:v>20595</c:v>
                </c:pt>
                <c:pt idx="155">
                  <c:v>12031</c:v>
                </c:pt>
                <c:pt idx="156">
                  <c:v>15128</c:v>
                </c:pt>
                <c:pt idx="157">
                  <c:v>11826</c:v>
                </c:pt>
                <c:pt idx="158">
                  <c:v>12562</c:v>
                </c:pt>
                <c:pt idx="159">
                  <c:v>13013</c:v>
                </c:pt>
                <c:pt idx="160">
                  <c:v>12937</c:v>
                </c:pt>
                <c:pt idx="161">
                  <c:v>14534</c:v>
                </c:pt>
                <c:pt idx="162">
                  <c:v>8182</c:v>
                </c:pt>
                <c:pt idx="163">
                  <c:v>10615</c:v>
                </c:pt>
                <c:pt idx="164">
                  <c:v>20109</c:v>
                </c:pt>
                <c:pt idx="165">
                  <c:v>26024</c:v>
                </c:pt>
                <c:pt idx="166">
                  <c:v>26730</c:v>
                </c:pt>
                <c:pt idx="167">
                  <c:v>10563</c:v>
                </c:pt>
                <c:pt idx="168">
                  <c:v>27575</c:v>
                </c:pt>
                <c:pt idx="169">
                  <c:v>14479</c:v>
                </c:pt>
                <c:pt idx="170">
                  <c:v>15915</c:v>
                </c:pt>
                <c:pt idx="171">
                  <c:v>12767</c:v>
                </c:pt>
                <c:pt idx="172">
                  <c:v>12170</c:v>
                </c:pt>
                <c:pt idx="173">
                  <c:v>7245</c:v>
                </c:pt>
                <c:pt idx="174">
                  <c:v>12985</c:v>
                </c:pt>
                <c:pt idx="175">
                  <c:v>16377</c:v>
                </c:pt>
                <c:pt idx="176">
                  <c:v>11453</c:v>
                </c:pt>
                <c:pt idx="177">
                  <c:v>12323</c:v>
                </c:pt>
                <c:pt idx="178">
                  <c:v>11911</c:v>
                </c:pt>
                <c:pt idx="179">
                  <c:v>27809</c:v>
                </c:pt>
                <c:pt idx="180">
                  <c:v>21464</c:v>
                </c:pt>
                <c:pt idx="181">
                  <c:v>27126</c:v>
                </c:pt>
                <c:pt idx="182">
                  <c:v>10681</c:v>
                </c:pt>
                <c:pt idx="183">
                  <c:v>5413</c:v>
                </c:pt>
                <c:pt idx="184">
                  <c:v>25058</c:v>
                </c:pt>
                <c:pt idx="185">
                  <c:v>18303</c:v>
                </c:pt>
                <c:pt idx="186">
                  <c:v>5526</c:v>
                </c:pt>
                <c:pt idx="187">
                  <c:v>17460</c:v>
                </c:pt>
                <c:pt idx="188">
                  <c:v>14475</c:v>
                </c:pt>
                <c:pt idx="189">
                  <c:v>20162</c:v>
                </c:pt>
                <c:pt idx="190">
                  <c:v>17103</c:v>
                </c:pt>
                <c:pt idx="191">
                  <c:v>15461</c:v>
                </c:pt>
                <c:pt idx="192">
                  <c:v>22103</c:v>
                </c:pt>
                <c:pt idx="193">
                  <c:v>11625</c:v>
                </c:pt>
                <c:pt idx="194">
                  <c:v>5281</c:v>
                </c:pt>
                <c:pt idx="195">
                  <c:v>13424</c:v>
                </c:pt>
                <c:pt idx="196">
                  <c:v>13140</c:v>
                </c:pt>
                <c:pt idx="197">
                  <c:v>19538</c:v>
                </c:pt>
                <c:pt idx="198">
                  <c:v>7881</c:v>
                </c:pt>
                <c:pt idx="199">
                  <c:v>11418</c:v>
                </c:pt>
              </c:numCache>
            </c:numRef>
          </c:xVal>
          <c:yVal>
            <c:numRef>
              <c:f>'Task 6.3'!$C$5:$C$204</c:f>
              <c:numCache>
                <c:formatCode>0</c:formatCode>
                <c:ptCount val="200"/>
                <c:pt idx="0">
                  <c:v>1334</c:v>
                </c:pt>
                <c:pt idx="1">
                  <c:v>909</c:v>
                </c:pt>
                <c:pt idx="2">
                  <c:v>1176</c:v>
                </c:pt>
                <c:pt idx="3">
                  <c:v>928</c:v>
                </c:pt>
                <c:pt idx="4">
                  <c:v>1397</c:v>
                </c:pt>
                <c:pt idx="5">
                  <c:v>452</c:v>
                </c:pt>
                <c:pt idx="6">
                  <c:v>590</c:v>
                </c:pt>
                <c:pt idx="7">
                  <c:v>1283</c:v>
                </c:pt>
                <c:pt idx="8">
                  <c:v>1302</c:v>
                </c:pt>
                <c:pt idx="9">
                  <c:v>612</c:v>
                </c:pt>
                <c:pt idx="10">
                  <c:v>1121</c:v>
                </c:pt>
                <c:pt idx="11">
                  <c:v>700</c:v>
                </c:pt>
                <c:pt idx="12">
                  <c:v>714</c:v>
                </c:pt>
                <c:pt idx="13">
                  <c:v>595</c:v>
                </c:pt>
                <c:pt idx="14">
                  <c:v>1117</c:v>
                </c:pt>
                <c:pt idx="15">
                  <c:v>667</c:v>
                </c:pt>
                <c:pt idx="16">
                  <c:v>1371</c:v>
                </c:pt>
                <c:pt idx="17">
                  <c:v>1117</c:v>
                </c:pt>
                <c:pt idx="18">
                  <c:v>359</c:v>
                </c:pt>
                <c:pt idx="19">
                  <c:v>1098</c:v>
                </c:pt>
                <c:pt idx="20">
                  <c:v>912</c:v>
                </c:pt>
                <c:pt idx="21">
                  <c:v>792</c:v>
                </c:pt>
                <c:pt idx="22">
                  <c:v>364</c:v>
                </c:pt>
                <c:pt idx="23">
                  <c:v>1125</c:v>
                </c:pt>
                <c:pt idx="24">
                  <c:v>869</c:v>
                </c:pt>
                <c:pt idx="25">
                  <c:v>414</c:v>
                </c:pt>
                <c:pt idx="26">
                  <c:v>849</c:v>
                </c:pt>
                <c:pt idx="27">
                  <c:v>1353</c:v>
                </c:pt>
                <c:pt idx="28">
                  <c:v>582</c:v>
                </c:pt>
                <c:pt idx="29">
                  <c:v>758</c:v>
                </c:pt>
                <c:pt idx="30">
                  <c:v>977</c:v>
                </c:pt>
                <c:pt idx="31">
                  <c:v>1191</c:v>
                </c:pt>
                <c:pt idx="32">
                  <c:v>904</c:v>
                </c:pt>
                <c:pt idx="33">
                  <c:v>909</c:v>
                </c:pt>
                <c:pt idx="34">
                  <c:v>382</c:v>
                </c:pt>
                <c:pt idx="35">
                  <c:v>1009</c:v>
                </c:pt>
                <c:pt idx="36">
                  <c:v>1022</c:v>
                </c:pt>
                <c:pt idx="37">
                  <c:v>262</c:v>
                </c:pt>
                <c:pt idx="38">
                  <c:v>1166</c:v>
                </c:pt>
                <c:pt idx="39">
                  <c:v>515</c:v>
                </c:pt>
                <c:pt idx="40">
                  <c:v>956</c:v>
                </c:pt>
                <c:pt idx="41">
                  <c:v>1031</c:v>
                </c:pt>
                <c:pt idx="42">
                  <c:v>637</c:v>
                </c:pt>
                <c:pt idx="43">
                  <c:v>1268</c:v>
                </c:pt>
                <c:pt idx="44">
                  <c:v>725</c:v>
                </c:pt>
                <c:pt idx="45">
                  <c:v>471</c:v>
                </c:pt>
                <c:pt idx="46">
                  <c:v>1291</c:v>
                </c:pt>
                <c:pt idx="47">
                  <c:v>400</c:v>
                </c:pt>
                <c:pt idx="48">
                  <c:v>1113</c:v>
                </c:pt>
                <c:pt idx="49">
                  <c:v>1198</c:v>
                </c:pt>
                <c:pt idx="50">
                  <c:v>474</c:v>
                </c:pt>
                <c:pt idx="51">
                  <c:v>1132</c:v>
                </c:pt>
                <c:pt idx="52">
                  <c:v>844</c:v>
                </c:pt>
                <c:pt idx="53">
                  <c:v>1175</c:v>
                </c:pt>
                <c:pt idx="54">
                  <c:v>559</c:v>
                </c:pt>
                <c:pt idx="55">
                  <c:v>554</c:v>
                </c:pt>
                <c:pt idx="56">
                  <c:v>1225</c:v>
                </c:pt>
                <c:pt idx="57">
                  <c:v>892</c:v>
                </c:pt>
                <c:pt idx="58">
                  <c:v>536</c:v>
                </c:pt>
                <c:pt idx="59">
                  <c:v>1242</c:v>
                </c:pt>
                <c:pt idx="60">
                  <c:v>948</c:v>
                </c:pt>
                <c:pt idx="61">
                  <c:v>762</c:v>
                </c:pt>
                <c:pt idx="62">
                  <c:v>1082</c:v>
                </c:pt>
                <c:pt idx="63">
                  <c:v>1174</c:v>
                </c:pt>
                <c:pt idx="64">
                  <c:v>464</c:v>
                </c:pt>
                <c:pt idx="65">
                  <c:v>543</c:v>
                </c:pt>
                <c:pt idx="66">
                  <c:v>1202</c:v>
                </c:pt>
                <c:pt idx="67">
                  <c:v>1390</c:v>
                </c:pt>
                <c:pt idx="68">
                  <c:v>984</c:v>
                </c:pt>
                <c:pt idx="69">
                  <c:v>1204</c:v>
                </c:pt>
                <c:pt idx="70">
                  <c:v>532</c:v>
                </c:pt>
                <c:pt idx="71">
                  <c:v>1058</c:v>
                </c:pt>
                <c:pt idx="72">
                  <c:v>676</c:v>
                </c:pt>
                <c:pt idx="73">
                  <c:v>577</c:v>
                </c:pt>
                <c:pt idx="74">
                  <c:v>682</c:v>
                </c:pt>
                <c:pt idx="75">
                  <c:v>450</c:v>
                </c:pt>
                <c:pt idx="76">
                  <c:v>683</c:v>
                </c:pt>
                <c:pt idx="77">
                  <c:v>1154</c:v>
                </c:pt>
                <c:pt idx="78">
                  <c:v>808</c:v>
                </c:pt>
                <c:pt idx="79">
                  <c:v>871</c:v>
                </c:pt>
                <c:pt idx="80">
                  <c:v>704</c:v>
                </c:pt>
                <c:pt idx="81">
                  <c:v>611</c:v>
                </c:pt>
                <c:pt idx="82">
                  <c:v>405</c:v>
                </c:pt>
                <c:pt idx="83">
                  <c:v>382</c:v>
                </c:pt>
                <c:pt idx="84">
                  <c:v>1117</c:v>
                </c:pt>
                <c:pt idx="85">
                  <c:v>477</c:v>
                </c:pt>
                <c:pt idx="86">
                  <c:v>1099</c:v>
                </c:pt>
                <c:pt idx="87">
                  <c:v>567</c:v>
                </c:pt>
                <c:pt idx="88">
                  <c:v>1133</c:v>
                </c:pt>
                <c:pt idx="89">
                  <c:v>850</c:v>
                </c:pt>
                <c:pt idx="90">
                  <c:v>413</c:v>
                </c:pt>
                <c:pt idx="91">
                  <c:v>1387</c:v>
                </c:pt>
                <c:pt idx="92">
                  <c:v>537</c:v>
                </c:pt>
                <c:pt idx="93">
                  <c:v>443</c:v>
                </c:pt>
                <c:pt idx="94">
                  <c:v>1283</c:v>
                </c:pt>
                <c:pt idx="95">
                  <c:v>725</c:v>
                </c:pt>
                <c:pt idx="96">
                  <c:v>467</c:v>
                </c:pt>
                <c:pt idx="97">
                  <c:v>1354</c:v>
                </c:pt>
                <c:pt idx="98">
                  <c:v>520</c:v>
                </c:pt>
                <c:pt idx="99">
                  <c:v>442</c:v>
                </c:pt>
                <c:pt idx="100">
                  <c:v>546</c:v>
                </c:pt>
                <c:pt idx="101">
                  <c:v>844</c:v>
                </c:pt>
                <c:pt idx="102">
                  <c:v>341</c:v>
                </c:pt>
                <c:pt idx="103">
                  <c:v>869</c:v>
                </c:pt>
                <c:pt idx="104">
                  <c:v>718</c:v>
                </c:pt>
                <c:pt idx="105">
                  <c:v>735</c:v>
                </c:pt>
                <c:pt idx="106">
                  <c:v>523</c:v>
                </c:pt>
                <c:pt idx="107">
                  <c:v>422</c:v>
                </c:pt>
                <c:pt idx="108">
                  <c:v>915</c:v>
                </c:pt>
                <c:pt idx="109">
                  <c:v>1108</c:v>
                </c:pt>
                <c:pt idx="110">
                  <c:v>338</c:v>
                </c:pt>
                <c:pt idx="111">
                  <c:v>724</c:v>
                </c:pt>
                <c:pt idx="112">
                  <c:v>463</c:v>
                </c:pt>
                <c:pt idx="113">
                  <c:v>356</c:v>
                </c:pt>
                <c:pt idx="114">
                  <c:v>378</c:v>
                </c:pt>
                <c:pt idx="115">
                  <c:v>636</c:v>
                </c:pt>
                <c:pt idx="116">
                  <c:v>699</c:v>
                </c:pt>
                <c:pt idx="117">
                  <c:v>1279</c:v>
                </c:pt>
                <c:pt idx="118">
                  <c:v>1006</c:v>
                </c:pt>
                <c:pt idx="119">
                  <c:v>478</c:v>
                </c:pt>
                <c:pt idx="120">
                  <c:v>545</c:v>
                </c:pt>
                <c:pt idx="121">
                  <c:v>1005</c:v>
                </c:pt>
                <c:pt idx="122">
                  <c:v>765</c:v>
                </c:pt>
                <c:pt idx="123">
                  <c:v>564</c:v>
                </c:pt>
                <c:pt idx="124">
                  <c:v>496</c:v>
                </c:pt>
                <c:pt idx="125">
                  <c:v>1128</c:v>
                </c:pt>
                <c:pt idx="126">
                  <c:v>565</c:v>
                </c:pt>
                <c:pt idx="127">
                  <c:v>813</c:v>
                </c:pt>
                <c:pt idx="128">
                  <c:v>1301</c:v>
                </c:pt>
                <c:pt idx="129">
                  <c:v>436</c:v>
                </c:pt>
                <c:pt idx="130">
                  <c:v>978</c:v>
                </c:pt>
                <c:pt idx="131">
                  <c:v>1367</c:v>
                </c:pt>
                <c:pt idx="132">
                  <c:v>1337</c:v>
                </c:pt>
                <c:pt idx="133">
                  <c:v>1014</c:v>
                </c:pt>
                <c:pt idx="134">
                  <c:v>940</c:v>
                </c:pt>
                <c:pt idx="135">
                  <c:v>690</c:v>
                </c:pt>
                <c:pt idx="136">
                  <c:v>1335</c:v>
                </c:pt>
                <c:pt idx="137">
                  <c:v>1191</c:v>
                </c:pt>
                <c:pt idx="138">
                  <c:v>353</c:v>
                </c:pt>
                <c:pt idx="139">
                  <c:v>486</c:v>
                </c:pt>
                <c:pt idx="140">
                  <c:v>889</c:v>
                </c:pt>
                <c:pt idx="141">
                  <c:v>983</c:v>
                </c:pt>
                <c:pt idx="142">
                  <c:v>581</c:v>
                </c:pt>
                <c:pt idx="143">
                  <c:v>814</c:v>
                </c:pt>
                <c:pt idx="144">
                  <c:v>919</c:v>
                </c:pt>
                <c:pt idx="145">
                  <c:v>676</c:v>
                </c:pt>
                <c:pt idx="146">
                  <c:v>459</c:v>
                </c:pt>
                <c:pt idx="147">
                  <c:v>576</c:v>
                </c:pt>
                <c:pt idx="148">
                  <c:v>447</c:v>
                </c:pt>
                <c:pt idx="149">
                  <c:v>377</c:v>
                </c:pt>
                <c:pt idx="150">
                  <c:v>932</c:v>
                </c:pt>
                <c:pt idx="151">
                  <c:v>1356</c:v>
                </c:pt>
                <c:pt idx="152">
                  <c:v>1281</c:v>
                </c:pt>
                <c:pt idx="153">
                  <c:v>1041</c:v>
                </c:pt>
                <c:pt idx="154">
                  <c:v>1184</c:v>
                </c:pt>
                <c:pt idx="155">
                  <c:v>684</c:v>
                </c:pt>
                <c:pt idx="156">
                  <c:v>354</c:v>
                </c:pt>
                <c:pt idx="157">
                  <c:v>1126</c:v>
                </c:pt>
                <c:pt idx="158">
                  <c:v>569</c:v>
                </c:pt>
                <c:pt idx="159">
                  <c:v>730</c:v>
                </c:pt>
                <c:pt idx="160">
                  <c:v>578</c:v>
                </c:pt>
                <c:pt idx="161">
                  <c:v>935</c:v>
                </c:pt>
                <c:pt idx="162">
                  <c:v>698</c:v>
                </c:pt>
                <c:pt idx="163">
                  <c:v>325</c:v>
                </c:pt>
                <c:pt idx="164">
                  <c:v>994</c:v>
                </c:pt>
                <c:pt idx="165">
                  <c:v>320</c:v>
                </c:pt>
                <c:pt idx="166">
                  <c:v>544</c:v>
                </c:pt>
                <c:pt idx="167">
                  <c:v>520</c:v>
                </c:pt>
                <c:pt idx="168">
                  <c:v>485</c:v>
                </c:pt>
                <c:pt idx="169">
                  <c:v>1234</c:v>
                </c:pt>
                <c:pt idx="170">
                  <c:v>596</c:v>
                </c:pt>
                <c:pt idx="171">
                  <c:v>831</c:v>
                </c:pt>
                <c:pt idx="172">
                  <c:v>1033</c:v>
                </c:pt>
                <c:pt idx="173">
                  <c:v>805</c:v>
                </c:pt>
                <c:pt idx="174">
                  <c:v>1274</c:v>
                </c:pt>
                <c:pt idx="175">
                  <c:v>428</c:v>
                </c:pt>
                <c:pt idx="176">
                  <c:v>952</c:v>
                </c:pt>
                <c:pt idx="177">
                  <c:v>951</c:v>
                </c:pt>
                <c:pt idx="178">
                  <c:v>604</c:v>
                </c:pt>
                <c:pt idx="179">
                  <c:v>1139</c:v>
                </c:pt>
                <c:pt idx="180">
                  <c:v>567</c:v>
                </c:pt>
                <c:pt idx="181">
                  <c:v>1282</c:v>
                </c:pt>
                <c:pt idx="182">
                  <c:v>1387</c:v>
                </c:pt>
                <c:pt idx="183">
                  <c:v>667</c:v>
                </c:pt>
                <c:pt idx="184">
                  <c:v>499</c:v>
                </c:pt>
                <c:pt idx="185">
                  <c:v>523</c:v>
                </c:pt>
                <c:pt idx="186">
                  <c:v>896</c:v>
                </c:pt>
                <c:pt idx="187">
                  <c:v>702</c:v>
                </c:pt>
                <c:pt idx="188">
                  <c:v>749</c:v>
                </c:pt>
                <c:pt idx="189">
                  <c:v>333</c:v>
                </c:pt>
                <c:pt idx="190">
                  <c:v>647</c:v>
                </c:pt>
                <c:pt idx="191">
                  <c:v>839</c:v>
                </c:pt>
                <c:pt idx="192">
                  <c:v>960</c:v>
                </c:pt>
                <c:pt idx="193">
                  <c:v>1168</c:v>
                </c:pt>
                <c:pt idx="194">
                  <c:v>518</c:v>
                </c:pt>
                <c:pt idx="195">
                  <c:v>872</c:v>
                </c:pt>
                <c:pt idx="196">
                  <c:v>302</c:v>
                </c:pt>
                <c:pt idx="197">
                  <c:v>250</c:v>
                </c:pt>
                <c:pt idx="198">
                  <c:v>820</c:v>
                </c:pt>
                <c:pt idx="199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7C-4F3A-82A4-12318FFDF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877967"/>
        <c:axId val="1249876527"/>
      </c:scatterChart>
      <c:valAx>
        <c:axId val="124987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</a:t>
                </a:r>
                <a:r>
                  <a:rPr lang="en-IN" baseline="0"/>
                  <a:t> Spend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876527"/>
        <c:crosses val="autoZero"/>
        <c:crossBetween val="midCat"/>
      </c:valAx>
      <c:valAx>
        <c:axId val="124987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Follwer</a:t>
                </a:r>
                <a:r>
                  <a:rPr lang="en-IN" baseline="0"/>
                  <a:t> Growth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87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000000">
          <a:alpha val="99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4</xdr:row>
      <xdr:rowOff>53340</xdr:rowOff>
    </xdr:from>
    <xdr:to>
      <xdr:col>13</xdr:col>
      <xdr:colOff>533400</xdr:colOff>
      <xdr:row>28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E185A-54E8-FC19-435A-FBDA57C646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182880</xdr:colOff>
      <xdr:row>6</xdr:row>
      <xdr:rowOff>15240</xdr:rowOff>
    </xdr:from>
    <xdr:to>
      <xdr:col>17</xdr:col>
      <xdr:colOff>297180</xdr:colOff>
      <xdr:row>25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646C1F-22F2-4309-B9A7-2EEDD56BA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0</xdr:row>
      <xdr:rowOff>76200</xdr:rowOff>
    </xdr:from>
    <xdr:to>
      <xdr:col>4</xdr:col>
      <xdr:colOff>304800</xdr:colOff>
      <xdr:row>2</xdr:row>
      <xdr:rowOff>137160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219F370-E58D-0B0D-53FC-DCE806FD9BE8}"/>
            </a:ext>
          </a:extLst>
        </xdr:cNvPr>
        <xdr:cNvSpPr/>
      </xdr:nvSpPr>
      <xdr:spPr>
        <a:xfrm>
          <a:off x="175260" y="76200"/>
          <a:ext cx="2567940" cy="42672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Max net follower  --&gt;</a:t>
          </a:r>
          <a:r>
            <a:rPr lang="en-IN" sz="1600" b="1">
              <a:effectLst/>
            </a:rPr>
            <a:t> </a:t>
          </a:r>
          <a:r>
            <a:rPr lang="en-IN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3576</a:t>
          </a:r>
          <a:r>
            <a:rPr lang="en-IN" sz="1600" b="1">
              <a:effectLst/>
            </a:rPr>
            <a:t> </a:t>
          </a:r>
          <a:endParaRPr lang="en-IN" sz="1600" b="1"/>
        </a:p>
      </xdr:txBody>
    </xdr:sp>
    <xdr:clientData/>
  </xdr:twoCellAnchor>
  <xdr:twoCellAnchor>
    <xdr:from>
      <xdr:col>4</xdr:col>
      <xdr:colOff>381000</xdr:colOff>
      <xdr:row>0</xdr:row>
      <xdr:rowOff>83820</xdr:rowOff>
    </xdr:from>
    <xdr:to>
      <xdr:col>11</xdr:col>
      <xdr:colOff>335280</xdr:colOff>
      <xdr:row>2</xdr:row>
      <xdr:rowOff>137160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C035C98-D1E4-68A3-6BB8-80302C05D5F1}"/>
            </a:ext>
          </a:extLst>
        </xdr:cNvPr>
        <xdr:cNvSpPr/>
      </xdr:nvSpPr>
      <xdr:spPr>
        <a:xfrm>
          <a:off x="2819400" y="83820"/>
          <a:ext cx="4221480" cy="419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Week with Higest Net Follower Gain -----&gt;  </a:t>
          </a:r>
          <a:r>
            <a:rPr lang="en-IN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04-11-24</a:t>
          </a:r>
          <a:r>
            <a:rPr lang="en-IN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400" b="1">
            <a:effectLst/>
          </a:endParaRPr>
        </a:p>
        <a:p>
          <a:pPr algn="l"/>
          <a:endParaRPr lang="en-IN" sz="1400" b="1"/>
        </a:p>
      </xdr:txBody>
    </xdr:sp>
    <xdr:clientData/>
  </xdr:twoCellAnchor>
  <xdr:twoCellAnchor>
    <xdr:from>
      <xdr:col>11</xdr:col>
      <xdr:colOff>556260</xdr:colOff>
      <xdr:row>0</xdr:row>
      <xdr:rowOff>83820</xdr:rowOff>
    </xdr:from>
    <xdr:to>
      <xdr:col>15</xdr:col>
      <xdr:colOff>99060</xdr:colOff>
      <xdr:row>2</xdr:row>
      <xdr:rowOff>137160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7DE7008-7E47-DEDD-6600-B3D1070C2460}"/>
            </a:ext>
          </a:extLst>
        </xdr:cNvPr>
        <xdr:cNvSpPr/>
      </xdr:nvSpPr>
      <xdr:spPr>
        <a:xfrm>
          <a:off x="7261860" y="83820"/>
          <a:ext cx="1981200" cy="419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correlation</a:t>
          </a:r>
          <a:r>
            <a:rPr lang="en-IN" sz="1400" b="1">
              <a:effectLst/>
            </a:rPr>
            <a:t> ----&gt; </a:t>
          </a:r>
          <a:r>
            <a:rPr lang="en-IN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-0.017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0</xdr:col>
      <xdr:colOff>0</xdr:colOff>
      <xdr:row>5</xdr:row>
      <xdr:rowOff>0</xdr:rowOff>
    </xdr:from>
    <xdr:to>
      <xdr:col>13</xdr:col>
      <xdr:colOff>38100</xdr:colOff>
      <xdr:row>25</xdr:row>
      <xdr:rowOff>160020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772F493-2C93-4C61-B0AE-B1BEB53D0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205740</xdr:colOff>
      <xdr:row>4</xdr:row>
      <xdr:rowOff>160020</xdr:rowOff>
    </xdr:from>
    <xdr:to>
      <xdr:col>23</xdr:col>
      <xdr:colOff>60960</xdr:colOff>
      <xdr:row>26</xdr:row>
      <xdr:rowOff>30480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A4BB175-696C-462E-AA18-802C173CD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 JARIYAL" refreshedDate="45909.989733449074" createdVersion="8" refreshedVersion="8" minRefreshableVersion="3" recordCount="200" xr:uid="{7606B20D-DCBA-4EDC-855E-FC57009E0E53}">
  <cacheSource type="worksheet">
    <worksheetSource ref="A1:D201" sheet="task 6 Engagement Summary"/>
  </cacheSource>
  <cacheFields count="8">
    <cacheField name="Week_Start_Date" numFmtId="16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6"/>
    </cacheField>
    <cacheField name="Platform" numFmtId="0">
      <sharedItems/>
    </cacheField>
    <cacheField name="New_Followers" numFmtId="1">
      <sharedItems containsSemiMixedTypes="0" containsString="0" containsNumber="1" containsInteger="1" minValue="503" maxValue="1490"/>
    </cacheField>
    <cacheField name="Unfollows" numFmtId="1">
      <sharedItems containsSemiMixedTypes="0" containsString="0" containsNumber="1" containsInteger="1" minValue="50" maxValue="296"/>
    </cacheField>
    <cacheField name="Months (Week_Start_Date)" numFmtId="0" databaseField="0">
      <fieldGroup base="0">
        <rangePr groupBy="months" startDate="2024-06-03T00:00:00" endDate="2025-09-09T00:00:00"/>
        <groupItems count="14">
          <s v="&lt;03-06-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03-06-24"/>
          <s v="Qtr1"/>
          <s v="Qtr2"/>
          <s v="Qtr3"/>
          <s v="Qtr4"/>
          <s v="&gt;09-09-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03-06-24"/>
          <s v="2024"/>
          <s v="2025"/>
          <s v="&gt;09-09-25"/>
        </groupItems>
      </fieldGroup>
    </cacheField>
    <cacheField name="Net Follower" numFmtId="0" formula="New_Followers-Unfollow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1402"/>
    <n v="68"/>
  </r>
  <r>
    <x v="0"/>
    <s v="Twitter"/>
    <n v="995"/>
    <n v="86"/>
  </r>
  <r>
    <x v="0"/>
    <s v="YouTube"/>
    <n v="1472"/>
    <n v="296"/>
  </r>
  <r>
    <x v="1"/>
    <s v="Instagram"/>
    <n v="1018"/>
    <n v="90"/>
  </r>
  <r>
    <x v="1"/>
    <s v="Twitter"/>
    <n v="1461"/>
    <n v="64"/>
  </r>
  <r>
    <x v="1"/>
    <s v="YouTube"/>
    <n v="545"/>
    <n v="93"/>
  </r>
  <r>
    <x v="2"/>
    <s v="Instagram"/>
    <n v="881"/>
    <n v="291"/>
  </r>
  <r>
    <x v="2"/>
    <s v="Twitter"/>
    <n v="1414"/>
    <n v="131"/>
  </r>
  <r>
    <x v="2"/>
    <s v="YouTube"/>
    <n v="1472"/>
    <n v="170"/>
  </r>
  <r>
    <x v="3"/>
    <s v="Instagram"/>
    <n v="809"/>
    <n v="197"/>
  </r>
  <r>
    <x v="3"/>
    <s v="Twitter"/>
    <n v="1371"/>
    <n v="250"/>
  </r>
  <r>
    <x v="3"/>
    <s v="YouTube"/>
    <n v="844"/>
    <n v="144"/>
  </r>
  <r>
    <x v="4"/>
    <s v="Instagram"/>
    <n v="786"/>
    <n v="72"/>
  </r>
  <r>
    <x v="4"/>
    <s v="Twitter"/>
    <n v="845"/>
    <n v="250"/>
  </r>
  <r>
    <x v="4"/>
    <s v="YouTube"/>
    <n v="1218"/>
    <n v="101"/>
  </r>
  <r>
    <x v="5"/>
    <s v="Instagram"/>
    <n v="797"/>
    <n v="130"/>
  </r>
  <r>
    <x v="5"/>
    <s v="Twitter"/>
    <n v="1471"/>
    <n v="100"/>
  </r>
  <r>
    <x v="5"/>
    <s v="YouTube"/>
    <n v="1253"/>
    <n v="136"/>
  </r>
  <r>
    <x v="6"/>
    <s v="Instagram"/>
    <n v="616"/>
    <n v="257"/>
  </r>
  <r>
    <x v="6"/>
    <s v="Twitter"/>
    <n v="1308"/>
    <n v="210"/>
  </r>
  <r>
    <x v="6"/>
    <s v="YouTube"/>
    <n v="981"/>
    <n v="69"/>
  </r>
  <r>
    <x v="7"/>
    <s v="Instagram"/>
    <n v="866"/>
    <n v="74"/>
  </r>
  <r>
    <x v="7"/>
    <s v="Twitter"/>
    <n v="547"/>
    <n v="183"/>
  </r>
  <r>
    <x v="7"/>
    <s v="YouTube"/>
    <n v="1241"/>
    <n v="116"/>
  </r>
  <r>
    <x v="8"/>
    <s v="Instagram"/>
    <n v="973"/>
    <n v="104"/>
  </r>
  <r>
    <x v="8"/>
    <s v="Twitter"/>
    <n v="611"/>
    <n v="197"/>
  </r>
  <r>
    <x v="8"/>
    <s v="YouTube"/>
    <n v="983"/>
    <n v="134"/>
  </r>
  <r>
    <x v="9"/>
    <s v="Instagram"/>
    <n v="1449"/>
    <n v="96"/>
  </r>
  <r>
    <x v="9"/>
    <s v="Twitter"/>
    <n v="752"/>
    <n v="170"/>
  </r>
  <r>
    <x v="9"/>
    <s v="YouTube"/>
    <n v="937"/>
    <n v="179"/>
  </r>
  <r>
    <x v="10"/>
    <s v="Instagram"/>
    <n v="1060"/>
    <n v="83"/>
  </r>
  <r>
    <x v="10"/>
    <s v="Twitter"/>
    <n v="1456"/>
    <n v="265"/>
  </r>
  <r>
    <x v="10"/>
    <s v="YouTube"/>
    <n v="1109"/>
    <n v="205"/>
  </r>
  <r>
    <x v="11"/>
    <s v="Instagram"/>
    <n v="1002"/>
    <n v="93"/>
  </r>
  <r>
    <x v="11"/>
    <s v="Twitter"/>
    <n v="571"/>
    <n v="189"/>
  </r>
  <r>
    <x v="11"/>
    <s v="YouTube"/>
    <n v="1240"/>
    <n v="231"/>
  </r>
  <r>
    <x v="12"/>
    <s v="Instagram"/>
    <n v="1154"/>
    <n v="132"/>
  </r>
  <r>
    <x v="12"/>
    <s v="Twitter"/>
    <n v="537"/>
    <n v="275"/>
  </r>
  <r>
    <x v="12"/>
    <s v="YouTube"/>
    <n v="1456"/>
    <n v="290"/>
  </r>
  <r>
    <x v="13"/>
    <s v="Instagram"/>
    <n v="721"/>
    <n v="206"/>
  </r>
  <r>
    <x v="13"/>
    <s v="Twitter"/>
    <n v="1098"/>
    <n v="142"/>
  </r>
  <r>
    <x v="13"/>
    <s v="YouTube"/>
    <n v="1096"/>
    <n v="65"/>
  </r>
  <r>
    <x v="14"/>
    <s v="Instagram"/>
    <n v="912"/>
    <n v="275"/>
  </r>
  <r>
    <x v="14"/>
    <s v="Twitter"/>
    <n v="1430"/>
    <n v="162"/>
  </r>
  <r>
    <x v="14"/>
    <s v="YouTube"/>
    <n v="854"/>
    <n v="129"/>
  </r>
  <r>
    <x v="15"/>
    <s v="Instagram"/>
    <n v="681"/>
    <n v="210"/>
  </r>
  <r>
    <x v="15"/>
    <s v="Twitter"/>
    <n v="1373"/>
    <n v="82"/>
  </r>
  <r>
    <x v="15"/>
    <s v="YouTube"/>
    <n v="685"/>
    <n v="285"/>
  </r>
  <r>
    <x v="16"/>
    <s v="Instagram"/>
    <n v="1290"/>
    <n v="177"/>
  </r>
  <r>
    <x v="16"/>
    <s v="Twitter"/>
    <n v="1437"/>
    <n v="239"/>
  </r>
  <r>
    <x v="16"/>
    <s v="YouTube"/>
    <n v="769"/>
    <n v="295"/>
  </r>
  <r>
    <x v="17"/>
    <s v="Instagram"/>
    <n v="1416"/>
    <n v="284"/>
  </r>
  <r>
    <x v="17"/>
    <s v="Twitter"/>
    <n v="998"/>
    <n v="154"/>
  </r>
  <r>
    <x v="17"/>
    <s v="YouTube"/>
    <n v="1421"/>
    <n v="246"/>
  </r>
  <r>
    <x v="18"/>
    <s v="Instagram"/>
    <n v="764"/>
    <n v="205"/>
  </r>
  <r>
    <x v="18"/>
    <s v="Twitter"/>
    <n v="678"/>
    <n v="124"/>
  </r>
  <r>
    <x v="18"/>
    <s v="YouTube"/>
    <n v="1328"/>
    <n v="103"/>
  </r>
  <r>
    <x v="19"/>
    <s v="Instagram"/>
    <n v="1161"/>
    <n v="269"/>
  </r>
  <r>
    <x v="19"/>
    <s v="Twitter"/>
    <n v="588"/>
    <n v="52"/>
  </r>
  <r>
    <x v="19"/>
    <s v="YouTube"/>
    <n v="1457"/>
    <n v="215"/>
  </r>
  <r>
    <x v="20"/>
    <s v="Instagram"/>
    <n v="1190"/>
    <n v="242"/>
  </r>
  <r>
    <x v="20"/>
    <s v="Twitter"/>
    <n v="886"/>
    <n v="124"/>
  </r>
  <r>
    <x v="20"/>
    <s v="YouTube"/>
    <n v="1237"/>
    <n v="155"/>
  </r>
  <r>
    <x v="21"/>
    <s v="Instagram"/>
    <n v="1435"/>
    <n v="261"/>
  </r>
  <r>
    <x v="21"/>
    <s v="Twitter"/>
    <n v="746"/>
    <n v="282"/>
  </r>
  <r>
    <x v="21"/>
    <s v="YouTube"/>
    <n v="759"/>
    <n v="216"/>
  </r>
  <r>
    <x v="22"/>
    <s v="Instagram"/>
    <n v="1437"/>
    <n v="235"/>
  </r>
  <r>
    <x v="22"/>
    <s v="Twitter"/>
    <n v="1463"/>
    <n v="73"/>
  </r>
  <r>
    <x v="22"/>
    <s v="YouTube"/>
    <n v="1208"/>
    <n v="224"/>
  </r>
  <r>
    <x v="23"/>
    <s v="Instagram"/>
    <n v="1391"/>
    <n v="187"/>
  </r>
  <r>
    <x v="23"/>
    <s v="Twitter"/>
    <n v="655"/>
    <n v="123"/>
  </r>
  <r>
    <x v="23"/>
    <s v="YouTube"/>
    <n v="1148"/>
    <n v="90"/>
  </r>
  <r>
    <x v="24"/>
    <s v="Instagram"/>
    <n v="946"/>
    <n v="270"/>
  </r>
  <r>
    <x v="24"/>
    <s v="Twitter"/>
    <n v="791"/>
    <n v="214"/>
  </r>
  <r>
    <x v="24"/>
    <s v="YouTube"/>
    <n v="793"/>
    <n v="111"/>
  </r>
  <r>
    <x v="25"/>
    <s v="Instagram"/>
    <n v="663"/>
    <n v="213"/>
  </r>
  <r>
    <x v="25"/>
    <s v="Twitter"/>
    <n v="954"/>
    <n v="271"/>
  </r>
  <r>
    <x v="25"/>
    <s v="YouTube"/>
    <n v="1313"/>
    <n v="159"/>
  </r>
  <r>
    <x v="26"/>
    <s v="Instagram"/>
    <n v="895"/>
    <n v="87"/>
  </r>
  <r>
    <x v="26"/>
    <s v="Twitter"/>
    <n v="1027"/>
    <n v="156"/>
  </r>
  <r>
    <x v="26"/>
    <s v="YouTube"/>
    <n v="990"/>
    <n v="286"/>
  </r>
  <r>
    <x v="27"/>
    <s v="Instagram"/>
    <n v="875"/>
    <n v="264"/>
  </r>
  <r>
    <x v="27"/>
    <s v="Twitter"/>
    <n v="599"/>
    <n v="194"/>
  </r>
  <r>
    <x v="27"/>
    <s v="YouTube"/>
    <n v="630"/>
    <n v="248"/>
  </r>
  <r>
    <x v="28"/>
    <s v="Instagram"/>
    <n v="1350"/>
    <n v="233"/>
  </r>
  <r>
    <x v="28"/>
    <s v="Twitter"/>
    <n v="632"/>
    <n v="155"/>
  </r>
  <r>
    <x v="28"/>
    <s v="YouTube"/>
    <n v="1182"/>
    <n v="83"/>
  </r>
  <r>
    <x v="29"/>
    <s v="Instagram"/>
    <n v="661"/>
    <n v="94"/>
  </r>
  <r>
    <x v="29"/>
    <s v="Twitter"/>
    <n v="1360"/>
    <n v="227"/>
  </r>
  <r>
    <x v="29"/>
    <s v="YouTube"/>
    <n v="935"/>
    <n v="85"/>
  </r>
  <r>
    <x v="30"/>
    <s v="Instagram"/>
    <n v="664"/>
    <n v="251"/>
  </r>
  <r>
    <x v="30"/>
    <s v="Twitter"/>
    <n v="1490"/>
    <n v="103"/>
  </r>
  <r>
    <x v="30"/>
    <s v="YouTube"/>
    <n v="601"/>
    <n v="64"/>
  </r>
  <r>
    <x v="31"/>
    <s v="Instagram"/>
    <n v="613"/>
    <n v="170"/>
  </r>
  <r>
    <x v="31"/>
    <s v="Twitter"/>
    <n v="1340"/>
    <n v="57"/>
  </r>
  <r>
    <x v="31"/>
    <s v="YouTube"/>
    <n v="953"/>
    <n v="228"/>
  </r>
  <r>
    <x v="32"/>
    <s v="Instagram"/>
    <n v="532"/>
    <n v="65"/>
  </r>
  <r>
    <x v="32"/>
    <s v="Twitter"/>
    <n v="1414"/>
    <n v="60"/>
  </r>
  <r>
    <x v="32"/>
    <s v="YouTube"/>
    <n v="685"/>
    <n v="165"/>
  </r>
  <r>
    <x v="33"/>
    <s v="Instagram"/>
    <n v="601"/>
    <n v="159"/>
  </r>
  <r>
    <x v="33"/>
    <s v="Twitter"/>
    <n v="841"/>
    <n v="295"/>
  </r>
  <r>
    <x v="33"/>
    <s v="YouTube"/>
    <n v="1105"/>
    <n v="261"/>
  </r>
  <r>
    <x v="34"/>
    <s v="Instagram"/>
    <n v="566"/>
    <n v="225"/>
  </r>
  <r>
    <x v="34"/>
    <s v="Twitter"/>
    <n v="1149"/>
    <n v="280"/>
  </r>
  <r>
    <x v="34"/>
    <s v="YouTube"/>
    <n v="819"/>
    <n v="101"/>
  </r>
  <r>
    <x v="35"/>
    <s v="Instagram"/>
    <n v="795"/>
    <n v="60"/>
  </r>
  <r>
    <x v="35"/>
    <s v="Twitter"/>
    <n v="681"/>
    <n v="158"/>
  </r>
  <r>
    <x v="35"/>
    <s v="YouTube"/>
    <n v="534"/>
    <n v="112"/>
  </r>
  <r>
    <x v="36"/>
    <s v="Instagram"/>
    <n v="1066"/>
    <n v="151"/>
  </r>
  <r>
    <x v="36"/>
    <s v="Twitter"/>
    <n v="1270"/>
    <n v="162"/>
  </r>
  <r>
    <x v="36"/>
    <s v="YouTube"/>
    <n v="536"/>
    <n v="198"/>
  </r>
  <r>
    <x v="37"/>
    <s v="Instagram"/>
    <n v="819"/>
    <n v="95"/>
  </r>
  <r>
    <x v="37"/>
    <s v="Twitter"/>
    <n v="681"/>
    <n v="218"/>
  </r>
  <r>
    <x v="37"/>
    <s v="YouTube"/>
    <n v="646"/>
    <n v="290"/>
  </r>
  <r>
    <x v="38"/>
    <s v="Instagram"/>
    <n v="645"/>
    <n v="267"/>
  </r>
  <r>
    <x v="38"/>
    <s v="Twitter"/>
    <n v="886"/>
    <n v="250"/>
  </r>
  <r>
    <x v="38"/>
    <s v="YouTube"/>
    <n v="978"/>
    <n v="279"/>
  </r>
  <r>
    <x v="39"/>
    <s v="Instagram"/>
    <n v="1444"/>
    <n v="165"/>
  </r>
  <r>
    <x v="39"/>
    <s v="Twitter"/>
    <n v="1234"/>
    <n v="228"/>
  </r>
  <r>
    <x v="39"/>
    <s v="YouTube"/>
    <n v="665"/>
    <n v="187"/>
  </r>
  <r>
    <x v="40"/>
    <s v="Instagram"/>
    <n v="631"/>
    <n v="86"/>
  </r>
  <r>
    <x v="40"/>
    <s v="Twitter"/>
    <n v="1159"/>
    <n v="154"/>
  </r>
  <r>
    <x v="40"/>
    <s v="YouTube"/>
    <n v="950"/>
    <n v="185"/>
  </r>
  <r>
    <x v="41"/>
    <s v="Instagram"/>
    <n v="693"/>
    <n v="129"/>
  </r>
  <r>
    <x v="41"/>
    <s v="Twitter"/>
    <n v="576"/>
    <n v="80"/>
  </r>
  <r>
    <x v="41"/>
    <s v="YouTube"/>
    <n v="1274"/>
    <n v="146"/>
  </r>
  <r>
    <x v="42"/>
    <s v="Instagram"/>
    <n v="818"/>
    <n v="253"/>
  </r>
  <r>
    <x v="42"/>
    <s v="Twitter"/>
    <n v="975"/>
    <n v="162"/>
  </r>
  <r>
    <x v="42"/>
    <s v="YouTube"/>
    <n v="1398"/>
    <n v="97"/>
  </r>
  <r>
    <x v="43"/>
    <s v="Instagram"/>
    <n v="591"/>
    <n v="155"/>
  </r>
  <r>
    <x v="43"/>
    <s v="Twitter"/>
    <n v="1232"/>
    <n v="254"/>
  </r>
  <r>
    <x v="43"/>
    <s v="YouTube"/>
    <n v="1425"/>
    <n v="58"/>
  </r>
  <r>
    <x v="44"/>
    <s v="Instagram"/>
    <n v="1417"/>
    <n v="80"/>
  </r>
  <r>
    <x v="44"/>
    <s v="Twitter"/>
    <n v="1222"/>
    <n v="208"/>
  </r>
  <r>
    <x v="44"/>
    <s v="YouTube"/>
    <n v="1071"/>
    <n v="131"/>
  </r>
  <r>
    <x v="45"/>
    <s v="Instagram"/>
    <n v="772"/>
    <n v="82"/>
  </r>
  <r>
    <x v="45"/>
    <s v="Twitter"/>
    <n v="1472"/>
    <n v="137"/>
  </r>
  <r>
    <x v="45"/>
    <s v="YouTube"/>
    <n v="1472"/>
    <n v="281"/>
  </r>
  <r>
    <x v="46"/>
    <s v="Instagram"/>
    <n v="585"/>
    <n v="232"/>
  </r>
  <r>
    <x v="46"/>
    <s v="Twitter"/>
    <n v="747"/>
    <n v="261"/>
  </r>
  <r>
    <x v="46"/>
    <s v="YouTube"/>
    <n v="1113"/>
    <n v="224"/>
  </r>
  <r>
    <x v="47"/>
    <s v="Instagram"/>
    <n v="1100"/>
    <n v="117"/>
  </r>
  <r>
    <x v="47"/>
    <s v="Twitter"/>
    <n v="751"/>
    <n v="170"/>
  </r>
  <r>
    <x v="47"/>
    <s v="YouTube"/>
    <n v="864"/>
    <n v="50"/>
  </r>
  <r>
    <x v="48"/>
    <s v="Instagram"/>
    <n v="1146"/>
    <n v="227"/>
  </r>
  <r>
    <x v="48"/>
    <s v="Twitter"/>
    <n v="883"/>
    <n v="207"/>
  </r>
  <r>
    <x v="48"/>
    <s v="YouTube"/>
    <n v="622"/>
    <n v="163"/>
  </r>
  <r>
    <x v="49"/>
    <s v="Instagram"/>
    <n v="837"/>
    <n v="261"/>
  </r>
  <r>
    <x v="49"/>
    <s v="Twitter"/>
    <n v="544"/>
    <n v="97"/>
  </r>
  <r>
    <x v="49"/>
    <s v="YouTube"/>
    <n v="624"/>
    <n v="247"/>
  </r>
  <r>
    <x v="50"/>
    <s v="Instagram"/>
    <n v="1073"/>
    <n v="141"/>
  </r>
  <r>
    <x v="50"/>
    <s v="Twitter"/>
    <n v="1430"/>
    <n v="74"/>
  </r>
  <r>
    <x v="50"/>
    <s v="YouTube"/>
    <n v="1358"/>
    <n v="77"/>
  </r>
  <r>
    <x v="51"/>
    <s v="Instagram"/>
    <n v="1242"/>
    <n v="201"/>
  </r>
  <r>
    <x v="51"/>
    <s v="Twitter"/>
    <n v="1389"/>
    <n v="205"/>
  </r>
  <r>
    <x v="51"/>
    <s v="YouTube"/>
    <n v="826"/>
    <n v="142"/>
  </r>
  <r>
    <x v="52"/>
    <s v="Instagram"/>
    <n v="618"/>
    <n v="264"/>
  </r>
  <r>
    <x v="52"/>
    <s v="Twitter"/>
    <n v="1419"/>
    <n v="293"/>
  </r>
  <r>
    <x v="52"/>
    <s v="YouTube"/>
    <n v="637"/>
    <n v="68"/>
  </r>
  <r>
    <x v="53"/>
    <s v="Instagram"/>
    <n v="917"/>
    <n v="187"/>
  </r>
  <r>
    <x v="53"/>
    <s v="Twitter"/>
    <n v="810"/>
    <n v="232"/>
  </r>
  <r>
    <x v="53"/>
    <s v="YouTube"/>
    <n v="1183"/>
    <n v="248"/>
  </r>
  <r>
    <x v="54"/>
    <s v="Instagram"/>
    <n v="765"/>
    <n v="67"/>
  </r>
  <r>
    <x v="54"/>
    <s v="Twitter"/>
    <n v="540"/>
    <n v="215"/>
  </r>
  <r>
    <x v="54"/>
    <s v="YouTube"/>
    <n v="1145"/>
    <n v="151"/>
  </r>
  <r>
    <x v="55"/>
    <s v="Instagram"/>
    <n v="564"/>
    <n v="244"/>
  </r>
  <r>
    <x v="55"/>
    <s v="Twitter"/>
    <n v="668"/>
    <n v="124"/>
  </r>
  <r>
    <x v="55"/>
    <s v="YouTube"/>
    <n v="761"/>
    <n v="241"/>
  </r>
  <r>
    <x v="56"/>
    <s v="Instagram"/>
    <n v="593"/>
    <n v="108"/>
  </r>
  <r>
    <x v="56"/>
    <s v="Twitter"/>
    <n v="1349"/>
    <n v="115"/>
  </r>
  <r>
    <x v="56"/>
    <s v="YouTube"/>
    <n v="693"/>
    <n v="97"/>
  </r>
  <r>
    <x v="57"/>
    <s v="Instagram"/>
    <n v="974"/>
    <n v="143"/>
  </r>
  <r>
    <x v="57"/>
    <s v="Twitter"/>
    <n v="1155"/>
    <n v="122"/>
  </r>
  <r>
    <x v="57"/>
    <s v="YouTube"/>
    <n v="1051"/>
    <n v="246"/>
  </r>
  <r>
    <x v="58"/>
    <s v="Instagram"/>
    <n v="1457"/>
    <n v="183"/>
  </r>
  <r>
    <x v="58"/>
    <s v="Twitter"/>
    <n v="670"/>
    <n v="242"/>
  </r>
  <r>
    <x v="58"/>
    <s v="YouTube"/>
    <n v="1111"/>
    <n v="159"/>
  </r>
  <r>
    <x v="59"/>
    <s v="Instagram"/>
    <n v="1197"/>
    <n v="246"/>
  </r>
  <r>
    <x v="59"/>
    <s v="Twitter"/>
    <n v="754"/>
    <n v="150"/>
  </r>
  <r>
    <x v="59"/>
    <s v="YouTube"/>
    <n v="1246"/>
    <n v="107"/>
  </r>
  <r>
    <x v="60"/>
    <s v="Instagram"/>
    <n v="780"/>
    <n v="213"/>
  </r>
  <r>
    <x v="60"/>
    <s v="Twitter"/>
    <n v="1425"/>
    <n v="143"/>
  </r>
  <r>
    <x v="60"/>
    <s v="YouTube"/>
    <n v="1490"/>
    <n v="103"/>
  </r>
  <r>
    <x v="61"/>
    <s v="Instagram"/>
    <n v="949"/>
    <n v="282"/>
  </r>
  <r>
    <x v="61"/>
    <s v="Twitter"/>
    <n v="640"/>
    <n v="141"/>
  </r>
  <r>
    <x v="61"/>
    <s v="YouTube"/>
    <n v="616"/>
    <n v="93"/>
  </r>
  <r>
    <x v="62"/>
    <s v="Instagram"/>
    <n v="1080"/>
    <n v="184"/>
  </r>
  <r>
    <x v="62"/>
    <s v="Twitter"/>
    <n v="938"/>
    <n v="236"/>
  </r>
  <r>
    <x v="62"/>
    <s v="YouTube"/>
    <n v="1007"/>
    <n v="258"/>
  </r>
  <r>
    <x v="63"/>
    <s v="Instagram"/>
    <n v="541"/>
    <n v="208"/>
  </r>
  <r>
    <x v="63"/>
    <s v="Twitter"/>
    <n v="745"/>
    <n v="98"/>
  </r>
  <r>
    <x v="63"/>
    <s v="YouTube"/>
    <n v="936"/>
    <n v="97"/>
  </r>
  <r>
    <x v="64"/>
    <s v="Instagram"/>
    <n v="1183"/>
    <n v="223"/>
  </r>
  <r>
    <x v="64"/>
    <s v="Twitter"/>
    <n v="1413"/>
    <n v="245"/>
  </r>
  <r>
    <x v="64"/>
    <s v="YouTube"/>
    <n v="791"/>
    <n v="273"/>
  </r>
  <r>
    <x v="65"/>
    <s v="Instagram"/>
    <n v="1052"/>
    <n v="180"/>
  </r>
  <r>
    <x v="65"/>
    <s v="Twitter"/>
    <n v="572"/>
    <n v="270"/>
  </r>
  <r>
    <x v="65"/>
    <s v="YouTube"/>
    <n v="503"/>
    <n v="253"/>
  </r>
  <r>
    <x v="66"/>
    <s v="Instagram"/>
    <n v="1017"/>
    <n v="197"/>
  </r>
  <r>
    <x v="66"/>
    <s v="Twitter"/>
    <n v="860"/>
    <n v="2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DEFE7-F44B-443D-8E43-E1324F9C7FDF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5:B73" firstHeaderRow="1" firstDataRow="1" firstDataCol="1"/>
  <pivotFields count="8">
    <pivotField axis="axisRow" numFmtId="164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numFmtId="1" showAll="0"/>
    <pivotField numFmtI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ataField="1" dragToRow="0" dragToCol="0" dragToPage="0" showAll="0" defaultSubtotal="0"/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Items count="1">
    <i/>
  </colItems>
  <dataFields count="1">
    <dataField name="Sum of Net Follower" fld="7" baseField="0" baseItem="0" numFmtId="1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Q1000"/>
  <sheetViews>
    <sheetView topLeftCell="E1" workbookViewId="0">
      <selection activeCell="Q281" sqref="Q281"/>
    </sheetView>
  </sheetViews>
  <sheetFormatPr defaultColWidth="14.44140625" defaultRowHeight="15" customHeight="1" x14ac:dyDescent="0.3"/>
  <cols>
    <col min="1" max="1" width="8.77734375" customWidth="1"/>
    <col min="2" max="2" width="10.21875" customWidth="1"/>
    <col min="3" max="3" width="11.21875" style="1" bestFit="1" customWidth="1"/>
    <col min="4" max="4" width="14.33203125" customWidth="1"/>
    <col min="5" max="5" width="42.33203125" bestFit="1" customWidth="1"/>
    <col min="6" max="6" width="19.21875" customWidth="1"/>
    <col min="7" max="7" width="7.109375" style="2" customWidth="1"/>
    <col min="8" max="8" width="9.109375" style="2" customWidth="1"/>
    <col min="9" max="9" width="13.109375" style="2" customWidth="1"/>
    <col min="10" max="10" width="13.88671875" style="2" customWidth="1"/>
    <col min="11" max="11" width="8.6640625" style="2" customWidth="1"/>
    <col min="12" max="12" width="8.33203125" style="2" customWidth="1"/>
    <col min="13" max="13" width="21.77734375" customWidth="1"/>
    <col min="14" max="14" width="25.6640625" customWidth="1"/>
    <col min="15" max="15" width="18.44140625" customWidth="1"/>
    <col min="16" max="16" width="28.21875" style="5" customWidth="1"/>
    <col min="17" max="17" width="14" style="4" customWidth="1"/>
    <col min="18" max="21" width="8.6640625" customWidth="1"/>
  </cols>
  <sheetData>
    <row r="1" spans="1:17" s="11" customFormat="1" ht="45" customHeight="1" x14ac:dyDescent="0.3">
      <c r="A1" s="47" t="s">
        <v>0</v>
      </c>
      <c r="B1" s="47" t="s">
        <v>1</v>
      </c>
      <c r="C1" s="48" t="s">
        <v>2</v>
      </c>
      <c r="D1" s="47" t="s">
        <v>3</v>
      </c>
      <c r="E1" s="47" t="s">
        <v>4</v>
      </c>
      <c r="F1" s="47" t="s">
        <v>362</v>
      </c>
      <c r="G1" s="49" t="s">
        <v>5</v>
      </c>
      <c r="H1" s="49" t="s">
        <v>6</v>
      </c>
      <c r="I1" s="49" t="s">
        <v>7</v>
      </c>
      <c r="J1" s="49" t="s">
        <v>8</v>
      </c>
      <c r="K1" s="49" t="s">
        <v>9</v>
      </c>
      <c r="L1" s="49" t="s">
        <v>10</v>
      </c>
      <c r="M1" s="47" t="s">
        <v>358</v>
      </c>
      <c r="N1" s="47" t="s">
        <v>359</v>
      </c>
      <c r="O1" s="47" t="s">
        <v>11</v>
      </c>
      <c r="P1" s="65" t="s">
        <v>371</v>
      </c>
      <c r="Q1" s="76" t="s">
        <v>372</v>
      </c>
    </row>
    <row r="2" spans="1:17" ht="14.4" x14ac:dyDescent="0.3">
      <c r="A2" s="50" t="s">
        <v>94</v>
      </c>
      <c r="B2" s="51" t="s">
        <v>28</v>
      </c>
      <c r="C2" s="52">
        <v>45292</v>
      </c>
      <c r="D2" s="51" t="s">
        <v>51</v>
      </c>
      <c r="E2" s="51" t="s">
        <v>18</v>
      </c>
      <c r="F2" s="51"/>
      <c r="G2" s="53">
        <v>3437</v>
      </c>
      <c r="H2" s="53">
        <v>129</v>
      </c>
      <c r="I2" s="53">
        <v>359</v>
      </c>
      <c r="J2" s="53">
        <v>44558</v>
      </c>
      <c r="K2" s="53">
        <v>30854</v>
      </c>
      <c r="L2" s="53">
        <v>171</v>
      </c>
      <c r="M2" s="51" t="s">
        <v>19</v>
      </c>
      <c r="N2" s="51" t="s">
        <v>39</v>
      </c>
      <c r="O2" s="51" t="s">
        <v>52</v>
      </c>
      <c r="P2" s="54">
        <f t="shared" ref="P2:P65" si="0">(G2+H2+I2)/J2</f>
        <v>8.8087436599488311E-2</v>
      </c>
      <c r="Q2" s="4">
        <f>G2+H2+I2</f>
        <v>3925</v>
      </c>
    </row>
    <row r="3" spans="1:17" ht="14.4" x14ac:dyDescent="0.3">
      <c r="A3" s="55" t="s">
        <v>159</v>
      </c>
      <c r="B3" s="56" t="s">
        <v>22</v>
      </c>
      <c r="C3" s="57">
        <v>45295</v>
      </c>
      <c r="D3" s="56" t="s">
        <v>23</v>
      </c>
      <c r="E3" s="56" t="s">
        <v>360</v>
      </c>
      <c r="F3" s="56" t="s">
        <v>361</v>
      </c>
      <c r="G3" s="58">
        <v>3208</v>
      </c>
      <c r="H3" s="58">
        <v>476</v>
      </c>
      <c r="I3" s="58">
        <v>277</v>
      </c>
      <c r="J3" s="58">
        <v>56072</v>
      </c>
      <c r="K3" s="58">
        <v>21061</v>
      </c>
      <c r="L3" s="58">
        <v>113</v>
      </c>
      <c r="M3" s="56" t="s">
        <v>355</v>
      </c>
      <c r="N3" s="56" t="s">
        <v>36</v>
      </c>
      <c r="O3" s="56" t="s">
        <v>16</v>
      </c>
      <c r="P3" s="59">
        <f t="shared" si="0"/>
        <v>7.064131830503638E-2</v>
      </c>
      <c r="Q3" s="4">
        <f t="shared" ref="Q3:Q66" si="1">G3+H3+I3</f>
        <v>3961</v>
      </c>
    </row>
    <row r="4" spans="1:17" ht="14.4" x14ac:dyDescent="0.3">
      <c r="A4" s="55" t="s">
        <v>314</v>
      </c>
      <c r="B4" s="56" t="s">
        <v>13</v>
      </c>
      <c r="C4" s="57">
        <v>45298</v>
      </c>
      <c r="D4" s="56" t="s">
        <v>14</v>
      </c>
      <c r="E4" s="56" t="s">
        <v>35</v>
      </c>
      <c r="F4" s="56"/>
      <c r="G4" s="58">
        <v>4931</v>
      </c>
      <c r="H4" s="58">
        <v>469</v>
      </c>
      <c r="I4" s="58">
        <v>193</v>
      </c>
      <c r="J4" s="58">
        <v>56701</v>
      </c>
      <c r="K4" s="58">
        <v>69437</v>
      </c>
      <c r="L4" s="58">
        <v>291</v>
      </c>
      <c r="M4" s="56" t="s">
        <v>39</v>
      </c>
      <c r="N4" s="56" t="s">
        <v>36</v>
      </c>
      <c r="O4" s="56" t="s">
        <v>16</v>
      </c>
      <c r="P4" s="59">
        <f t="shared" si="0"/>
        <v>9.8640235621946709E-2</v>
      </c>
      <c r="Q4" s="4">
        <f t="shared" si="1"/>
        <v>5593</v>
      </c>
    </row>
    <row r="5" spans="1:17" ht="14.4" x14ac:dyDescent="0.3">
      <c r="A5" s="60" t="s">
        <v>90</v>
      </c>
      <c r="B5" s="61" t="s">
        <v>13</v>
      </c>
      <c r="C5" s="62">
        <v>45299</v>
      </c>
      <c r="D5" s="61" t="s">
        <v>14</v>
      </c>
      <c r="E5" s="61" t="s">
        <v>35</v>
      </c>
      <c r="F5" s="61"/>
      <c r="G5" s="63">
        <v>2683</v>
      </c>
      <c r="H5" s="63">
        <v>405</v>
      </c>
      <c r="I5" s="63">
        <v>223</v>
      </c>
      <c r="J5" s="63">
        <v>31233</v>
      </c>
      <c r="K5" s="63">
        <v>58106</v>
      </c>
      <c r="L5" s="63">
        <v>291</v>
      </c>
      <c r="M5" s="61" t="s">
        <v>19</v>
      </c>
      <c r="N5" s="61"/>
      <c r="O5" s="61" t="s">
        <v>20</v>
      </c>
      <c r="P5" s="64">
        <f t="shared" si="0"/>
        <v>0.10600966926007749</v>
      </c>
      <c r="Q5" s="4">
        <f t="shared" si="1"/>
        <v>3311</v>
      </c>
    </row>
    <row r="6" spans="1:17" ht="14.4" x14ac:dyDescent="0.3">
      <c r="A6" s="55" t="s">
        <v>163</v>
      </c>
      <c r="B6" s="56" t="s">
        <v>28</v>
      </c>
      <c r="C6" s="57">
        <v>45301</v>
      </c>
      <c r="D6" s="56" t="s">
        <v>14</v>
      </c>
      <c r="E6" s="56" t="s">
        <v>18</v>
      </c>
      <c r="F6" s="56"/>
      <c r="G6" s="58">
        <v>1261</v>
      </c>
      <c r="H6" s="58">
        <v>190</v>
      </c>
      <c r="I6" s="58">
        <v>233</v>
      </c>
      <c r="J6" s="58">
        <v>59888</v>
      </c>
      <c r="K6" s="58">
        <v>51449</v>
      </c>
      <c r="L6" s="58">
        <v>205</v>
      </c>
      <c r="M6" s="56" t="s">
        <v>19</v>
      </c>
      <c r="N6" s="56" t="s">
        <v>354</v>
      </c>
      <c r="O6" s="56" t="s">
        <v>20</v>
      </c>
      <c r="P6" s="59">
        <f t="shared" si="0"/>
        <v>2.811915575741384E-2</v>
      </c>
      <c r="Q6" s="4">
        <f t="shared" si="1"/>
        <v>1684</v>
      </c>
    </row>
    <row r="7" spans="1:17" ht="14.4" x14ac:dyDescent="0.3">
      <c r="A7" s="55" t="s">
        <v>104</v>
      </c>
      <c r="B7" s="56" t="s">
        <v>22</v>
      </c>
      <c r="C7" s="57">
        <v>45302</v>
      </c>
      <c r="D7" s="56" t="s">
        <v>14</v>
      </c>
      <c r="E7" s="56" t="s">
        <v>360</v>
      </c>
      <c r="F7" s="56" t="s">
        <v>361</v>
      </c>
      <c r="G7" s="58">
        <v>4218</v>
      </c>
      <c r="H7" s="58">
        <v>247</v>
      </c>
      <c r="I7" s="58">
        <v>183</v>
      </c>
      <c r="J7" s="58">
        <v>28914</v>
      </c>
      <c r="K7" s="58">
        <v>18310</v>
      </c>
      <c r="L7" s="58">
        <v>135</v>
      </c>
      <c r="M7" s="56" t="s">
        <v>39</v>
      </c>
      <c r="N7" s="56"/>
      <c r="O7" s="56" t="s">
        <v>20</v>
      </c>
      <c r="P7" s="59">
        <f t="shared" si="0"/>
        <v>0.1607525766064882</v>
      </c>
      <c r="Q7" s="4">
        <f t="shared" si="1"/>
        <v>4648</v>
      </c>
    </row>
    <row r="8" spans="1:17" ht="14.4" x14ac:dyDescent="0.3">
      <c r="A8" s="55" t="s">
        <v>235</v>
      </c>
      <c r="B8" s="56" t="s">
        <v>22</v>
      </c>
      <c r="C8" s="57">
        <v>45302</v>
      </c>
      <c r="D8" s="56" t="s">
        <v>23</v>
      </c>
      <c r="E8" s="56" t="s">
        <v>26</v>
      </c>
      <c r="F8" s="56"/>
      <c r="G8" s="58">
        <v>2340</v>
      </c>
      <c r="H8" s="58">
        <v>141</v>
      </c>
      <c r="I8" s="58">
        <v>206</v>
      </c>
      <c r="J8" s="58">
        <v>24916</v>
      </c>
      <c r="K8" s="58">
        <v>30582</v>
      </c>
      <c r="L8" s="58">
        <v>157</v>
      </c>
      <c r="M8" s="56" t="s">
        <v>39</v>
      </c>
      <c r="N8" s="56" t="s">
        <v>36</v>
      </c>
      <c r="O8" s="56" t="s">
        <v>16</v>
      </c>
      <c r="P8" s="59">
        <f t="shared" si="0"/>
        <v>0.10784235029699792</v>
      </c>
      <c r="Q8" s="4">
        <f t="shared" si="1"/>
        <v>2687</v>
      </c>
    </row>
    <row r="9" spans="1:17" ht="14.4" x14ac:dyDescent="0.3">
      <c r="A9" s="60" t="s">
        <v>332</v>
      </c>
      <c r="B9" s="61" t="s">
        <v>22</v>
      </c>
      <c r="C9" s="62">
        <v>45303</v>
      </c>
      <c r="D9" s="61" t="s">
        <v>23</v>
      </c>
      <c r="E9" s="61" t="s">
        <v>26</v>
      </c>
      <c r="F9" s="61"/>
      <c r="G9" s="63">
        <v>2227</v>
      </c>
      <c r="H9" s="63">
        <v>494</v>
      </c>
      <c r="I9" s="63">
        <v>161</v>
      </c>
      <c r="J9" s="63">
        <v>51651</v>
      </c>
      <c r="K9" s="63">
        <v>68074</v>
      </c>
      <c r="L9" s="63">
        <v>240</v>
      </c>
      <c r="M9" s="61" t="s">
        <v>19</v>
      </c>
      <c r="N9" s="61" t="s">
        <v>355</v>
      </c>
      <c r="O9" s="61" t="s">
        <v>16</v>
      </c>
      <c r="P9" s="64">
        <f t="shared" si="0"/>
        <v>5.5797564422760453E-2</v>
      </c>
      <c r="Q9" s="4">
        <f t="shared" si="1"/>
        <v>2882</v>
      </c>
    </row>
    <row r="10" spans="1:17" ht="14.4" x14ac:dyDescent="0.3">
      <c r="A10" s="55" t="s">
        <v>112</v>
      </c>
      <c r="B10" s="56" t="s">
        <v>28</v>
      </c>
      <c r="C10" s="57">
        <v>45304</v>
      </c>
      <c r="D10" s="56" t="s">
        <v>51</v>
      </c>
      <c r="E10" s="56" t="s">
        <v>24</v>
      </c>
      <c r="F10" s="56"/>
      <c r="G10" s="58">
        <v>4781</v>
      </c>
      <c r="H10" s="58">
        <v>191</v>
      </c>
      <c r="I10" s="58">
        <v>122</v>
      </c>
      <c r="J10" s="58">
        <v>35535</v>
      </c>
      <c r="K10" s="58">
        <v>50777</v>
      </c>
      <c r="L10" s="58">
        <v>128</v>
      </c>
      <c r="M10" s="56" t="s">
        <v>19</v>
      </c>
      <c r="N10" s="56" t="s">
        <v>39</v>
      </c>
      <c r="O10" s="56" t="s">
        <v>52</v>
      </c>
      <c r="P10" s="59">
        <f t="shared" si="0"/>
        <v>0.14335162515829464</v>
      </c>
      <c r="Q10" s="4">
        <f t="shared" si="1"/>
        <v>5094</v>
      </c>
    </row>
    <row r="11" spans="1:17" ht="14.4" x14ac:dyDescent="0.3">
      <c r="A11" s="60" t="s">
        <v>270</v>
      </c>
      <c r="B11" s="61" t="s">
        <v>28</v>
      </c>
      <c r="C11" s="62">
        <v>45305</v>
      </c>
      <c r="D11" s="61" t="s">
        <v>14</v>
      </c>
      <c r="E11" s="61" t="s">
        <v>360</v>
      </c>
      <c r="F11" s="61" t="s">
        <v>361</v>
      </c>
      <c r="G11" s="63">
        <v>4502</v>
      </c>
      <c r="H11" s="63">
        <v>238</v>
      </c>
      <c r="I11" s="63">
        <v>386</v>
      </c>
      <c r="J11" s="63">
        <v>39198</v>
      </c>
      <c r="K11" s="63">
        <v>25050</v>
      </c>
      <c r="L11" s="63">
        <v>297</v>
      </c>
      <c r="M11" s="61" t="s">
        <v>19</v>
      </c>
      <c r="N11" s="61" t="s">
        <v>354</v>
      </c>
      <c r="O11" s="61" t="s">
        <v>20</v>
      </c>
      <c r="P11" s="64">
        <f t="shared" si="0"/>
        <v>0.13077197816215114</v>
      </c>
      <c r="Q11" s="4">
        <f t="shared" si="1"/>
        <v>5126</v>
      </c>
    </row>
    <row r="12" spans="1:17" ht="14.4" x14ac:dyDescent="0.3">
      <c r="A12" s="60" t="s">
        <v>228</v>
      </c>
      <c r="B12" s="61" t="s">
        <v>28</v>
      </c>
      <c r="C12" s="62">
        <v>45305</v>
      </c>
      <c r="D12" s="61" t="s">
        <v>14</v>
      </c>
      <c r="E12" s="61" t="s">
        <v>24</v>
      </c>
      <c r="F12" s="61"/>
      <c r="G12" s="63">
        <v>3634</v>
      </c>
      <c r="H12" s="63">
        <v>280</v>
      </c>
      <c r="I12" s="63">
        <v>399</v>
      </c>
      <c r="J12" s="63">
        <v>40256</v>
      </c>
      <c r="K12" s="63">
        <v>52605</v>
      </c>
      <c r="L12" s="63">
        <v>213</v>
      </c>
      <c r="M12" s="61" t="s">
        <v>19</v>
      </c>
      <c r="N12" s="61" t="s">
        <v>354</v>
      </c>
      <c r="O12" s="61" t="s">
        <v>20</v>
      </c>
      <c r="P12" s="64">
        <f t="shared" si="0"/>
        <v>0.10713930842607314</v>
      </c>
      <c r="Q12" s="4">
        <f t="shared" si="1"/>
        <v>4313</v>
      </c>
    </row>
    <row r="13" spans="1:17" ht="14.4" x14ac:dyDescent="0.3">
      <c r="A13" s="60" t="s">
        <v>259</v>
      </c>
      <c r="B13" s="61" t="s">
        <v>22</v>
      </c>
      <c r="C13" s="62">
        <v>45308</v>
      </c>
      <c r="D13" s="61" t="s">
        <v>23</v>
      </c>
      <c r="E13" s="61" t="s">
        <v>24</v>
      </c>
      <c r="F13" s="61"/>
      <c r="G13" s="63">
        <v>2174</v>
      </c>
      <c r="H13" s="63">
        <v>499</v>
      </c>
      <c r="I13" s="63">
        <v>212</v>
      </c>
      <c r="J13" s="63">
        <v>54938</v>
      </c>
      <c r="K13" s="63">
        <v>27190</v>
      </c>
      <c r="L13" s="63">
        <v>265</v>
      </c>
      <c r="M13" s="61" t="s">
        <v>355</v>
      </c>
      <c r="N13" s="61" t="s">
        <v>36</v>
      </c>
      <c r="O13" s="61" t="s">
        <v>16</v>
      </c>
      <c r="P13" s="64">
        <f t="shared" si="0"/>
        <v>5.2513742764570971E-2</v>
      </c>
      <c r="Q13" s="4">
        <f t="shared" si="1"/>
        <v>2885</v>
      </c>
    </row>
    <row r="14" spans="1:17" ht="14.4" x14ac:dyDescent="0.3">
      <c r="A14" s="55" t="s">
        <v>180</v>
      </c>
      <c r="B14" s="56" t="s">
        <v>22</v>
      </c>
      <c r="C14" s="57">
        <v>45312</v>
      </c>
      <c r="D14" s="56" t="s">
        <v>23</v>
      </c>
      <c r="E14" s="56" t="s">
        <v>15</v>
      </c>
      <c r="F14" s="56"/>
      <c r="G14" s="58">
        <v>2383</v>
      </c>
      <c r="H14" s="58">
        <v>136</v>
      </c>
      <c r="I14" s="58">
        <v>302</v>
      </c>
      <c r="J14" s="58">
        <v>39187</v>
      </c>
      <c r="K14" s="58">
        <v>22133</v>
      </c>
      <c r="L14" s="58">
        <v>208</v>
      </c>
      <c r="M14" s="56" t="s">
        <v>355</v>
      </c>
      <c r="N14" s="56" t="s">
        <v>36</v>
      </c>
      <c r="O14" s="56" t="s">
        <v>16</v>
      </c>
      <c r="P14" s="59">
        <f t="shared" si="0"/>
        <v>7.1988159338556151E-2</v>
      </c>
      <c r="Q14" s="4">
        <f t="shared" si="1"/>
        <v>2821</v>
      </c>
    </row>
    <row r="15" spans="1:17" ht="14.4" x14ac:dyDescent="0.3">
      <c r="A15" s="55" t="s">
        <v>108</v>
      </c>
      <c r="B15" s="56" t="s">
        <v>22</v>
      </c>
      <c r="C15" s="57">
        <v>45313</v>
      </c>
      <c r="D15" s="56" t="s">
        <v>23</v>
      </c>
      <c r="E15" s="56" t="s">
        <v>43</v>
      </c>
      <c r="F15" s="56"/>
      <c r="G15" s="58">
        <v>1554</v>
      </c>
      <c r="H15" s="58">
        <v>455</v>
      </c>
      <c r="I15" s="58">
        <v>158</v>
      </c>
      <c r="J15" s="58">
        <v>41947</v>
      </c>
      <c r="K15" s="58">
        <v>48578</v>
      </c>
      <c r="L15" s="58">
        <v>101</v>
      </c>
      <c r="M15" s="56" t="s">
        <v>39</v>
      </c>
      <c r="N15" s="56" t="s">
        <v>36</v>
      </c>
      <c r="O15" s="56" t="s">
        <v>16</v>
      </c>
      <c r="P15" s="59">
        <f t="shared" si="0"/>
        <v>5.1660428636136076E-2</v>
      </c>
      <c r="Q15" s="4">
        <f t="shared" si="1"/>
        <v>2167</v>
      </c>
    </row>
    <row r="16" spans="1:17" ht="14.4" x14ac:dyDescent="0.3">
      <c r="A16" s="55" t="s">
        <v>130</v>
      </c>
      <c r="B16" s="56" t="s">
        <v>13</v>
      </c>
      <c r="C16" s="57">
        <v>45317</v>
      </c>
      <c r="D16" s="56" t="s">
        <v>14</v>
      </c>
      <c r="E16" s="56" t="s">
        <v>360</v>
      </c>
      <c r="F16" s="56" t="s">
        <v>361</v>
      </c>
      <c r="G16" s="58">
        <v>3878</v>
      </c>
      <c r="H16" s="58">
        <v>431</v>
      </c>
      <c r="I16" s="58">
        <v>97</v>
      </c>
      <c r="J16" s="58">
        <v>41763</v>
      </c>
      <c r="K16" s="58">
        <v>29729</v>
      </c>
      <c r="L16" s="58">
        <v>191</v>
      </c>
      <c r="M16" s="56" t="s">
        <v>19</v>
      </c>
      <c r="N16" s="56"/>
      <c r="O16" s="56" t="s">
        <v>20</v>
      </c>
      <c r="P16" s="59">
        <f t="shared" si="0"/>
        <v>0.10550008380623997</v>
      </c>
      <c r="Q16" s="4">
        <f t="shared" si="1"/>
        <v>4406</v>
      </c>
    </row>
    <row r="17" spans="1:17" ht="14.4" x14ac:dyDescent="0.3">
      <c r="A17" s="55" t="s">
        <v>166</v>
      </c>
      <c r="B17" s="56" t="s">
        <v>28</v>
      </c>
      <c r="C17" s="57">
        <v>45318</v>
      </c>
      <c r="D17" s="56" t="s">
        <v>14</v>
      </c>
      <c r="E17" s="56" t="s">
        <v>45</v>
      </c>
      <c r="F17" s="56"/>
      <c r="G17" s="58">
        <v>1976</v>
      </c>
      <c r="H17" s="58">
        <v>262</v>
      </c>
      <c r="I17" s="58">
        <v>218</v>
      </c>
      <c r="J17" s="58">
        <v>51696</v>
      </c>
      <c r="K17" s="58">
        <v>44846</v>
      </c>
      <c r="L17" s="58">
        <v>139</v>
      </c>
      <c r="M17" s="56" t="s">
        <v>19</v>
      </c>
      <c r="N17" s="56" t="s">
        <v>354</v>
      </c>
      <c r="O17" s="56" t="s">
        <v>20</v>
      </c>
      <c r="P17" s="59">
        <f t="shared" si="0"/>
        <v>4.7508511296812134E-2</v>
      </c>
      <c r="Q17" s="4">
        <f t="shared" si="1"/>
        <v>2456</v>
      </c>
    </row>
    <row r="18" spans="1:17" ht="14.4" x14ac:dyDescent="0.3">
      <c r="A18" s="60" t="s">
        <v>160</v>
      </c>
      <c r="B18" s="61" t="s">
        <v>22</v>
      </c>
      <c r="C18" s="62">
        <v>45319</v>
      </c>
      <c r="D18" s="61" t="s">
        <v>14</v>
      </c>
      <c r="E18" s="61" t="s">
        <v>29</v>
      </c>
      <c r="F18" s="61"/>
      <c r="G18" s="63">
        <v>1456</v>
      </c>
      <c r="H18" s="63">
        <v>265</v>
      </c>
      <c r="I18" s="63">
        <v>137</v>
      </c>
      <c r="J18" s="63">
        <v>53485</v>
      </c>
      <c r="K18" s="63">
        <v>59729</v>
      </c>
      <c r="L18" s="63">
        <v>145</v>
      </c>
      <c r="M18" s="61" t="s">
        <v>39</v>
      </c>
      <c r="N18" s="61"/>
      <c r="O18" s="61" t="s">
        <v>20</v>
      </c>
      <c r="P18" s="64">
        <f t="shared" si="0"/>
        <v>3.4738711788351875E-2</v>
      </c>
      <c r="Q18" s="4">
        <f t="shared" si="1"/>
        <v>1858</v>
      </c>
    </row>
    <row r="19" spans="1:17" ht="14.4" x14ac:dyDescent="0.3">
      <c r="A19" s="55" t="s">
        <v>258</v>
      </c>
      <c r="B19" s="56" t="s">
        <v>28</v>
      </c>
      <c r="C19" s="57">
        <v>45323</v>
      </c>
      <c r="D19" s="56" t="s">
        <v>14</v>
      </c>
      <c r="E19" s="56" t="s">
        <v>26</v>
      </c>
      <c r="F19" s="56"/>
      <c r="G19" s="58">
        <v>1432</v>
      </c>
      <c r="H19" s="58">
        <v>437</v>
      </c>
      <c r="I19" s="58">
        <v>267</v>
      </c>
      <c r="J19" s="58">
        <v>40634</v>
      </c>
      <c r="K19" s="58">
        <v>54511</v>
      </c>
      <c r="L19" s="58">
        <v>197</v>
      </c>
      <c r="M19" s="56" t="s">
        <v>19</v>
      </c>
      <c r="N19" s="56" t="s">
        <v>354</v>
      </c>
      <c r="O19" s="56" t="s">
        <v>20</v>
      </c>
      <c r="P19" s="59">
        <f t="shared" si="0"/>
        <v>5.2566815966924252E-2</v>
      </c>
      <c r="Q19" s="4">
        <f t="shared" si="1"/>
        <v>2136</v>
      </c>
    </row>
    <row r="20" spans="1:17" ht="14.4" x14ac:dyDescent="0.3">
      <c r="A20" s="55" t="s">
        <v>267</v>
      </c>
      <c r="B20" s="56" t="s">
        <v>22</v>
      </c>
      <c r="C20" s="57">
        <v>45324</v>
      </c>
      <c r="D20" s="56" t="s">
        <v>14</v>
      </c>
      <c r="E20" s="56" t="s">
        <v>43</v>
      </c>
      <c r="F20" s="56"/>
      <c r="G20" s="58">
        <v>3818</v>
      </c>
      <c r="H20" s="58">
        <v>115</v>
      </c>
      <c r="I20" s="58">
        <v>286</v>
      </c>
      <c r="J20" s="58">
        <v>25127</v>
      </c>
      <c r="K20" s="58">
        <v>22277</v>
      </c>
      <c r="L20" s="58">
        <v>263</v>
      </c>
      <c r="M20" s="56" t="s">
        <v>36</v>
      </c>
      <c r="N20" s="56"/>
      <c r="O20" s="56" t="s">
        <v>16</v>
      </c>
      <c r="P20" s="59">
        <f t="shared" si="0"/>
        <v>0.16790703227603773</v>
      </c>
      <c r="Q20" s="4">
        <f t="shared" si="1"/>
        <v>4219</v>
      </c>
    </row>
    <row r="21" spans="1:17" ht="15.75" customHeight="1" x14ac:dyDescent="0.3">
      <c r="A21" s="55" t="s">
        <v>48</v>
      </c>
      <c r="B21" s="56" t="s">
        <v>13</v>
      </c>
      <c r="C21" s="57">
        <v>45325</v>
      </c>
      <c r="D21" s="56" t="s">
        <v>23</v>
      </c>
      <c r="E21" s="56" t="s">
        <v>29</v>
      </c>
      <c r="F21" s="56"/>
      <c r="G21" s="58">
        <v>4281</v>
      </c>
      <c r="H21" s="58">
        <v>101</v>
      </c>
      <c r="I21" s="58">
        <v>163</v>
      </c>
      <c r="J21" s="58">
        <v>32278</v>
      </c>
      <c r="K21" s="58">
        <v>53382</v>
      </c>
      <c r="L21" s="58">
        <v>235</v>
      </c>
      <c r="M21" s="56" t="s">
        <v>36</v>
      </c>
      <c r="N21" s="56"/>
      <c r="O21" s="56" t="s">
        <v>49</v>
      </c>
      <c r="P21" s="59">
        <f t="shared" si="0"/>
        <v>0.1408079806679472</v>
      </c>
      <c r="Q21" s="4">
        <f t="shared" si="1"/>
        <v>4545</v>
      </c>
    </row>
    <row r="22" spans="1:17" ht="15.75" customHeight="1" x14ac:dyDescent="0.3">
      <c r="A22" s="60" t="s">
        <v>333</v>
      </c>
      <c r="B22" s="61" t="s">
        <v>13</v>
      </c>
      <c r="C22" s="62">
        <v>45329</v>
      </c>
      <c r="D22" s="61" t="s">
        <v>14</v>
      </c>
      <c r="E22" s="61" t="s">
        <v>29</v>
      </c>
      <c r="F22" s="61"/>
      <c r="G22" s="63">
        <v>1883</v>
      </c>
      <c r="H22" s="63">
        <v>432</v>
      </c>
      <c r="I22" s="63">
        <v>397</v>
      </c>
      <c r="J22" s="63">
        <v>28759</v>
      </c>
      <c r="K22" s="63">
        <v>18691</v>
      </c>
      <c r="L22" s="63">
        <v>270</v>
      </c>
      <c r="M22" s="61" t="s">
        <v>39</v>
      </c>
      <c r="N22" s="61" t="s">
        <v>36</v>
      </c>
      <c r="O22" s="61" t="s">
        <v>16</v>
      </c>
      <c r="P22" s="64">
        <f t="shared" si="0"/>
        <v>9.4300914496331587E-2</v>
      </c>
      <c r="Q22" s="4">
        <f t="shared" si="1"/>
        <v>2712</v>
      </c>
    </row>
    <row r="23" spans="1:17" ht="15.75" customHeight="1" x14ac:dyDescent="0.3">
      <c r="A23" s="60" t="s">
        <v>193</v>
      </c>
      <c r="B23" s="61" t="s">
        <v>28</v>
      </c>
      <c r="C23" s="62">
        <v>45330</v>
      </c>
      <c r="D23" s="61" t="s">
        <v>51</v>
      </c>
      <c r="E23" s="61" t="s">
        <v>35</v>
      </c>
      <c r="F23" s="61"/>
      <c r="G23" s="63">
        <v>1889</v>
      </c>
      <c r="H23" s="63">
        <v>298</v>
      </c>
      <c r="I23" s="63">
        <v>122</v>
      </c>
      <c r="J23" s="63">
        <v>46225</v>
      </c>
      <c r="K23" s="63">
        <v>74305</v>
      </c>
      <c r="L23" s="63">
        <v>293</v>
      </c>
      <c r="M23" s="61" t="s">
        <v>19</v>
      </c>
      <c r="N23" s="61" t="s">
        <v>39</v>
      </c>
      <c r="O23" s="61" t="s">
        <v>52</v>
      </c>
      <c r="P23" s="64">
        <f t="shared" si="0"/>
        <v>4.9951325040562468E-2</v>
      </c>
      <c r="Q23" s="4">
        <f t="shared" si="1"/>
        <v>2309</v>
      </c>
    </row>
    <row r="24" spans="1:17" ht="15.75" customHeight="1" x14ac:dyDescent="0.3">
      <c r="A24" s="55" t="s">
        <v>252</v>
      </c>
      <c r="B24" s="56" t="s">
        <v>22</v>
      </c>
      <c r="C24" s="57">
        <v>45332</v>
      </c>
      <c r="D24" s="56" t="s">
        <v>14</v>
      </c>
      <c r="E24" s="56" t="s">
        <v>43</v>
      </c>
      <c r="F24" s="56"/>
      <c r="G24" s="58">
        <v>1519</v>
      </c>
      <c r="H24" s="58">
        <v>456</v>
      </c>
      <c r="I24" s="58">
        <v>379</v>
      </c>
      <c r="J24" s="58">
        <v>51611</v>
      </c>
      <c r="K24" s="58">
        <v>45880</v>
      </c>
      <c r="L24" s="58">
        <v>176</v>
      </c>
      <c r="M24" s="56" t="s">
        <v>39</v>
      </c>
      <c r="N24" s="56"/>
      <c r="O24" s="56" t="s">
        <v>20</v>
      </c>
      <c r="P24" s="59">
        <f t="shared" si="0"/>
        <v>4.5610431884675749E-2</v>
      </c>
      <c r="Q24" s="4">
        <f t="shared" si="1"/>
        <v>2354</v>
      </c>
    </row>
    <row r="25" spans="1:17" ht="15.75" customHeight="1" x14ac:dyDescent="0.3">
      <c r="A25" s="55" t="s">
        <v>79</v>
      </c>
      <c r="B25" s="56" t="s">
        <v>13</v>
      </c>
      <c r="C25" s="57">
        <v>45334</v>
      </c>
      <c r="D25" s="56" t="s">
        <v>14</v>
      </c>
      <c r="E25" s="56" t="s">
        <v>18</v>
      </c>
      <c r="F25" s="56"/>
      <c r="G25" s="58">
        <v>2923</v>
      </c>
      <c r="H25" s="58">
        <v>330</v>
      </c>
      <c r="I25" s="58">
        <v>250</v>
      </c>
      <c r="J25" s="58">
        <v>23993</v>
      </c>
      <c r="K25" s="58">
        <v>74590</v>
      </c>
      <c r="L25" s="58">
        <v>92</v>
      </c>
      <c r="M25" s="56" t="s">
        <v>19</v>
      </c>
      <c r="N25" s="56"/>
      <c r="O25" s="56" t="s">
        <v>20</v>
      </c>
      <c r="P25" s="59">
        <f t="shared" si="0"/>
        <v>0.14600091693410577</v>
      </c>
      <c r="Q25" s="4">
        <f t="shared" si="1"/>
        <v>3503</v>
      </c>
    </row>
    <row r="26" spans="1:17" ht="15.75" customHeight="1" x14ac:dyDescent="0.3">
      <c r="A26" s="55" t="s">
        <v>306</v>
      </c>
      <c r="B26" s="56" t="s">
        <v>22</v>
      </c>
      <c r="C26" s="57">
        <v>45334</v>
      </c>
      <c r="D26" s="56" t="s">
        <v>14</v>
      </c>
      <c r="E26" s="56" t="s">
        <v>18</v>
      </c>
      <c r="F26" s="56"/>
      <c r="G26" s="58">
        <v>2691</v>
      </c>
      <c r="H26" s="58">
        <v>486</v>
      </c>
      <c r="I26" s="58">
        <v>206</v>
      </c>
      <c r="J26" s="58">
        <v>51133</v>
      </c>
      <c r="K26" s="58">
        <v>44583</v>
      </c>
      <c r="L26" s="58">
        <v>276</v>
      </c>
      <c r="M26" s="56" t="s">
        <v>36</v>
      </c>
      <c r="N26" s="56"/>
      <c r="O26" s="56" t="s">
        <v>16</v>
      </c>
      <c r="P26" s="59">
        <f t="shared" si="0"/>
        <v>6.6160796354604659E-2</v>
      </c>
      <c r="Q26" s="4">
        <f t="shared" si="1"/>
        <v>3383</v>
      </c>
    </row>
    <row r="27" spans="1:17" ht="15.75" customHeight="1" x14ac:dyDescent="0.3">
      <c r="A27" s="55" t="s">
        <v>136</v>
      </c>
      <c r="B27" s="56" t="s">
        <v>13</v>
      </c>
      <c r="C27" s="57">
        <v>45336</v>
      </c>
      <c r="D27" s="56" t="s">
        <v>14</v>
      </c>
      <c r="E27" s="56" t="s">
        <v>29</v>
      </c>
      <c r="F27" s="56"/>
      <c r="G27" s="58">
        <v>1830</v>
      </c>
      <c r="H27" s="58">
        <v>112</v>
      </c>
      <c r="I27" s="58">
        <v>181</v>
      </c>
      <c r="J27" s="58">
        <v>31870</v>
      </c>
      <c r="K27" s="58">
        <v>55742</v>
      </c>
      <c r="L27" s="58">
        <v>263</v>
      </c>
      <c r="M27" s="56" t="s">
        <v>39</v>
      </c>
      <c r="N27" s="56" t="s">
        <v>36</v>
      </c>
      <c r="O27" s="56" t="s">
        <v>16</v>
      </c>
      <c r="P27" s="59">
        <f t="shared" si="0"/>
        <v>6.6614370881706936E-2</v>
      </c>
      <c r="Q27" s="4">
        <f t="shared" si="1"/>
        <v>2123</v>
      </c>
    </row>
    <row r="28" spans="1:17" ht="15.75" customHeight="1" x14ac:dyDescent="0.3">
      <c r="A28" s="55" t="s">
        <v>150</v>
      </c>
      <c r="B28" s="56" t="s">
        <v>13</v>
      </c>
      <c r="C28" s="57">
        <v>45340</v>
      </c>
      <c r="D28" s="56" t="s">
        <v>23</v>
      </c>
      <c r="E28" s="56" t="s">
        <v>43</v>
      </c>
      <c r="F28" s="56"/>
      <c r="G28" s="58">
        <v>1516</v>
      </c>
      <c r="H28" s="58">
        <v>215</v>
      </c>
      <c r="I28" s="58">
        <v>332</v>
      </c>
      <c r="J28" s="58">
        <v>58981</v>
      </c>
      <c r="K28" s="58">
        <v>36118</v>
      </c>
      <c r="L28" s="58">
        <v>211</v>
      </c>
      <c r="M28" s="56" t="s">
        <v>36</v>
      </c>
      <c r="N28" s="56"/>
      <c r="O28" s="56" t="s">
        <v>49</v>
      </c>
      <c r="P28" s="59">
        <f t="shared" si="0"/>
        <v>3.4977365592309385E-2</v>
      </c>
      <c r="Q28" s="4">
        <f t="shared" si="1"/>
        <v>2063</v>
      </c>
    </row>
    <row r="29" spans="1:17" ht="15.75" customHeight="1" x14ac:dyDescent="0.3">
      <c r="A29" s="60" t="s">
        <v>308</v>
      </c>
      <c r="B29" s="61" t="s">
        <v>13</v>
      </c>
      <c r="C29" s="62">
        <v>45341</v>
      </c>
      <c r="D29" s="61" t="s">
        <v>14</v>
      </c>
      <c r="E29" s="61" t="s">
        <v>26</v>
      </c>
      <c r="F29" s="61"/>
      <c r="G29" s="63">
        <v>4752</v>
      </c>
      <c r="H29" s="63">
        <v>449</v>
      </c>
      <c r="I29" s="63">
        <v>309</v>
      </c>
      <c r="J29" s="63">
        <v>58530</v>
      </c>
      <c r="K29" s="63">
        <v>26630</v>
      </c>
      <c r="L29" s="63">
        <v>234</v>
      </c>
      <c r="M29" s="61" t="s">
        <v>19</v>
      </c>
      <c r="N29" s="61"/>
      <c r="O29" s="61" t="s">
        <v>20</v>
      </c>
      <c r="P29" s="64">
        <f t="shared" si="0"/>
        <v>9.4139757389372969E-2</v>
      </c>
      <c r="Q29" s="4">
        <f t="shared" si="1"/>
        <v>5510</v>
      </c>
    </row>
    <row r="30" spans="1:17" ht="15.75" customHeight="1" x14ac:dyDescent="0.3">
      <c r="A30" s="60" t="s">
        <v>315</v>
      </c>
      <c r="B30" s="61" t="s">
        <v>22</v>
      </c>
      <c r="C30" s="62">
        <v>45343</v>
      </c>
      <c r="D30" s="61" t="s">
        <v>23</v>
      </c>
      <c r="E30" s="61" t="s">
        <v>32</v>
      </c>
      <c r="F30" s="61"/>
      <c r="G30" s="63">
        <v>2604</v>
      </c>
      <c r="H30" s="63">
        <v>439</v>
      </c>
      <c r="I30" s="63">
        <v>148</v>
      </c>
      <c r="J30" s="63">
        <v>58468</v>
      </c>
      <c r="K30" s="63">
        <v>39629</v>
      </c>
      <c r="L30" s="63">
        <v>163</v>
      </c>
      <c r="M30" s="61" t="s">
        <v>355</v>
      </c>
      <c r="N30" s="61" t="s">
        <v>36</v>
      </c>
      <c r="O30" s="61" t="s">
        <v>16</v>
      </c>
      <c r="P30" s="64">
        <f t="shared" si="0"/>
        <v>5.4576862557296296E-2</v>
      </c>
      <c r="Q30" s="4">
        <f t="shared" si="1"/>
        <v>3191</v>
      </c>
    </row>
    <row r="31" spans="1:17" ht="15.75" customHeight="1" x14ac:dyDescent="0.3">
      <c r="A31" s="60" t="s">
        <v>161</v>
      </c>
      <c r="B31" s="61" t="s">
        <v>13</v>
      </c>
      <c r="C31" s="62">
        <v>45344</v>
      </c>
      <c r="D31" s="61" t="s">
        <v>14</v>
      </c>
      <c r="E31" s="61" t="s">
        <v>24</v>
      </c>
      <c r="F31" s="61"/>
      <c r="G31" s="63">
        <v>1902</v>
      </c>
      <c r="H31" s="63">
        <v>394</v>
      </c>
      <c r="I31" s="63">
        <v>279</v>
      </c>
      <c r="J31" s="63">
        <v>24615</v>
      </c>
      <c r="K31" s="63">
        <v>51330</v>
      </c>
      <c r="L31" s="63">
        <v>176</v>
      </c>
      <c r="M31" s="61" t="s">
        <v>39</v>
      </c>
      <c r="N31" s="61" t="s">
        <v>36</v>
      </c>
      <c r="O31" s="61" t="s">
        <v>16</v>
      </c>
      <c r="P31" s="64">
        <f t="shared" si="0"/>
        <v>0.10461100954702417</v>
      </c>
      <c r="Q31" s="4">
        <f t="shared" si="1"/>
        <v>2575</v>
      </c>
    </row>
    <row r="32" spans="1:17" ht="15.75" customHeight="1" x14ac:dyDescent="0.3">
      <c r="A32" s="60" t="s">
        <v>224</v>
      </c>
      <c r="B32" s="61" t="s">
        <v>28</v>
      </c>
      <c r="C32" s="62">
        <v>45346</v>
      </c>
      <c r="D32" s="61" t="s">
        <v>51</v>
      </c>
      <c r="E32" s="61" t="s">
        <v>15</v>
      </c>
      <c r="F32" s="61"/>
      <c r="G32" s="63">
        <v>4221</v>
      </c>
      <c r="H32" s="63">
        <v>307</v>
      </c>
      <c r="I32" s="63">
        <v>58</v>
      </c>
      <c r="J32" s="63">
        <v>45080</v>
      </c>
      <c r="K32" s="63">
        <v>37214</v>
      </c>
      <c r="L32" s="63">
        <v>240</v>
      </c>
      <c r="M32" s="61" t="s">
        <v>19</v>
      </c>
      <c r="N32" s="61" t="s">
        <v>39</v>
      </c>
      <c r="O32" s="61" t="s">
        <v>52</v>
      </c>
      <c r="P32" s="64">
        <f t="shared" si="0"/>
        <v>0.10173025732031943</v>
      </c>
      <c r="Q32" s="4">
        <f t="shared" si="1"/>
        <v>4586</v>
      </c>
    </row>
    <row r="33" spans="1:17" ht="15.75" customHeight="1" x14ac:dyDescent="0.3">
      <c r="A33" s="55" t="s">
        <v>262</v>
      </c>
      <c r="B33" s="56" t="s">
        <v>28</v>
      </c>
      <c r="C33" s="57">
        <v>45346</v>
      </c>
      <c r="D33" s="56" t="s">
        <v>14</v>
      </c>
      <c r="E33" s="56" t="s">
        <v>29</v>
      </c>
      <c r="F33" s="56"/>
      <c r="G33" s="58">
        <v>4653</v>
      </c>
      <c r="H33" s="58">
        <v>226</v>
      </c>
      <c r="I33" s="58">
        <v>349</v>
      </c>
      <c r="J33" s="58">
        <v>56876</v>
      </c>
      <c r="K33" s="58">
        <v>28452</v>
      </c>
      <c r="L33" s="58">
        <v>257</v>
      </c>
      <c r="M33" s="56" t="s">
        <v>19</v>
      </c>
      <c r="N33" s="56" t="s">
        <v>354</v>
      </c>
      <c r="O33" s="56" t="s">
        <v>20</v>
      </c>
      <c r="P33" s="59">
        <f t="shared" si="0"/>
        <v>9.191926295801392E-2</v>
      </c>
      <c r="Q33" s="4">
        <f t="shared" si="1"/>
        <v>5228</v>
      </c>
    </row>
    <row r="34" spans="1:17" ht="15.75" customHeight="1" x14ac:dyDescent="0.3">
      <c r="A34" s="60" t="s">
        <v>155</v>
      </c>
      <c r="B34" s="61" t="s">
        <v>22</v>
      </c>
      <c r="C34" s="62">
        <v>45346</v>
      </c>
      <c r="D34" s="61" t="s">
        <v>23</v>
      </c>
      <c r="E34" s="61" t="s">
        <v>29</v>
      </c>
      <c r="F34" s="61"/>
      <c r="G34" s="63">
        <v>1022</v>
      </c>
      <c r="H34" s="63">
        <v>463</v>
      </c>
      <c r="I34" s="63">
        <v>360</v>
      </c>
      <c r="J34" s="63">
        <v>51468</v>
      </c>
      <c r="K34" s="63">
        <v>24279</v>
      </c>
      <c r="L34" s="63">
        <v>230</v>
      </c>
      <c r="M34" s="61" t="s">
        <v>19</v>
      </c>
      <c r="N34" s="61" t="s">
        <v>355</v>
      </c>
      <c r="O34" s="61" t="s">
        <v>16</v>
      </c>
      <c r="P34" s="64">
        <f t="shared" si="0"/>
        <v>3.5847516903707161E-2</v>
      </c>
      <c r="Q34" s="4">
        <f t="shared" si="1"/>
        <v>1845</v>
      </c>
    </row>
    <row r="35" spans="1:17" ht="15.75" customHeight="1" x14ac:dyDescent="0.3">
      <c r="A35" s="55" t="s">
        <v>126</v>
      </c>
      <c r="B35" s="56" t="s">
        <v>13</v>
      </c>
      <c r="C35" s="57">
        <v>45351</v>
      </c>
      <c r="D35" s="56" t="s">
        <v>14</v>
      </c>
      <c r="E35" s="56" t="s">
        <v>43</v>
      </c>
      <c r="F35" s="56"/>
      <c r="G35" s="58">
        <v>1100</v>
      </c>
      <c r="H35" s="58">
        <v>229</v>
      </c>
      <c r="I35" s="58">
        <v>312</v>
      </c>
      <c r="J35" s="58">
        <v>25641</v>
      </c>
      <c r="K35" s="58">
        <v>34601</v>
      </c>
      <c r="L35" s="58">
        <v>169</v>
      </c>
      <c r="M35" s="56" t="s">
        <v>19</v>
      </c>
      <c r="N35" s="56"/>
      <c r="O35" s="56" t="s">
        <v>20</v>
      </c>
      <c r="P35" s="59">
        <f t="shared" si="0"/>
        <v>6.3999063999063993E-2</v>
      </c>
      <c r="Q35" s="4">
        <f t="shared" si="1"/>
        <v>1641</v>
      </c>
    </row>
    <row r="36" spans="1:17" ht="15.75" customHeight="1" x14ac:dyDescent="0.3">
      <c r="A36" s="60" t="s">
        <v>61</v>
      </c>
      <c r="B36" s="61" t="s">
        <v>28</v>
      </c>
      <c r="C36" s="62">
        <v>45356</v>
      </c>
      <c r="D36" s="61" t="s">
        <v>51</v>
      </c>
      <c r="E36" s="61" t="s">
        <v>18</v>
      </c>
      <c r="F36" s="61"/>
      <c r="G36" s="63">
        <v>3558</v>
      </c>
      <c r="H36" s="63">
        <v>314</v>
      </c>
      <c r="I36" s="63">
        <v>199</v>
      </c>
      <c r="J36" s="63">
        <v>49612</v>
      </c>
      <c r="K36" s="63">
        <v>53929</v>
      </c>
      <c r="L36" s="63">
        <v>206</v>
      </c>
      <c r="M36" s="61" t="s">
        <v>19</v>
      </c>
      <c r="N36" s="61" t="s">
        <v>39</v>
      </c>
      <c r="O36" s="61" t="s">
        <v>52</v>
      </c>
      <c r="P36" s="64">
        <f t="shared" si="0"/>
        <v>8.205676046117874E-2</v>
      </c>
      <c r="Q36" s="4">
        <f t="shared" si="1"/>
        <v>4071</v>
      </c>
    </row>
    <row r="37" spans="1:17" ht="15.75" customHeight="1" x14ac:dyDescent="0.3">
      <c r="A37" s="60" t="s">
        <v>282</v>
      </c>
      <c r="B37" s="61" t="s">
        <v>13</v>
      </c>
      <c r="C37" s="62">
        <v>45357</v>
      </c>
      <c r="D37" s="61" t="s">
        <v>14</v>
      </c>
      <c r="E37" s="61" t="s">
        <v>360</v>
      </c>
      <c r="F37" s="61" t="s">
        <v>361</v>
      </c>
      <c r="G37" s="63">
        <v>3529</v>
      </c>
      <c r="H37" s="63">
        <v>263</v>
      </c>
      <c r="I37" s="63">
        <v>107</v>
      </c>
      <c r="J37" s="63">
        <v>26570</v>
      </c>
      <c r="K37" s="63">
        <v>19367</v>
      </c>
      <c r="L37" s="63">
        <v>96</v>
      </c>
      <c r="M37" s="61" t="s">
        <v>19</v>
      </c>
      <c r="N37" s="61"/>
      <c r="O37" s="61" t="s">
        <v>20</v>
      </c>
      <c r="P37" s="64">
        <f t="shared" si="0"/>
        <v>0.14674444862627023</v>
      </c>
      <c r="Q37" s="4">
        <f t="shared" si="1"/>
        <v>3899</v>
      </c>
    </row>
    <row r="38" spans="1:17" ht="15.75" customHeight="1" x14ac:dyDescent="0.3">
      <c r="A38" s="55" t="s">
        <v>38</v>
      </c>
      <c r="B38" s="56" t="s">
        <v>22</v>
      </c>
      <c r="C38" s="57">
        <v>45357</v>
      </c>
      <c r="D38" s="56" t="s">
        <v>14</v>
      </c>
      <c r="E38" s="56" t="s">
        <v>15</v>
      </c>
      <c r="F38" s="56"/>
      <c r="G38" s="58">
        <v>1971</v>
      </c>
      <c r="H38" s="58">
        <v>370</v>
      </c>
      <c r="I38" s="58">
        <v>306</v>
      </c>
      <c r="J38" s="58">
        <v>31316</v>
      </c>
      <c r="K38" s="58">
        <v>27897</v>
      </c>
      <c r="L38" s="58">
        <v>88</v>
      </c>
      <c r="M38" s="56" t="s">
        <v>39</v>
      </c>
      <c r="N38" s="56"/>
      <c r="O38" s="56" t="s">
        <v>20</v>
      </c>
      <c r="P38" s="59">
        <f t="shared" si="0"/>
        <v>8.4525482181632389E-2</v>
      </c>
      <c r="Q38" s="4">
        <f t="shared" si="1"/>
        <v>2647</v>
      </c>
    </row>
    <row r="39" spans="1:17" ht="15.75" customHeight="1" x14ac:dyDescent="0.3">
      <c r="A39" s="60" t="s">
        <v>80</v>
      </c>
      <c r="B39" s="61" t="s">
        <v>28</v>
      </c>
      <c r="C39" s="62">
        <v>45365</v>
      </c>
      <c r="D39" s="61" t="s">
        <v>51</v>
      </c>
      <c r="E39" s="61" t="s">
        <v>43</v>
      </c>
      <c r="F39" s="61"/>
      <c r="G39" s="63">
        <v>3361</v>
      </c>
      <c r="H39" s="63">
        <v>188</v>
      </c>
      <c r="I39" s="63">
        <v>358</v>
      </c>
      <c r="J39" s="63">
        <v>39838</v>
      </c>
      <c r="K39" s="63">
        <v>24536</v>
      </c>
      <c r="L39" s="63">
        <v>120</v>
      </c>
      <c r="M39" s="61" t="s">
        <v>19</v>
      </c>
      <c r="N39" s="61" t="s">
        <v>39</v>
      </c>
      <c r="O39" s="61" t="s">
        <v>52</v>
      </c>
      <c r="P39" s="64">
        <f t="shared" si="0"/>
        <v>9.8072192379135503E-2</v>
      </c>
      <c r="Q39" s="4">
        <f t="shared" si="1"/>
        <v>3907</v>
      </c>
    </row>
    <row r="40" spans="1:17" ht="15.75" customHeight="1" x14ac:dyDescent="0.3">
      <c r="A40" s="60" t="s">
        <v>131</v>
      </c>
      <c r="B40" s="61" t="s">
        <v>22</v>
      </c>
      <c r="C40" s="62">
        <v>45366</v>
      </c>
      <c r="D40" s="61" t="s">
        <v>23</v>
      </c>
      <c r="E40" s="61" t="s">
        <v>32</v>
      </c>
      <c r="F40" s="61"/>
      <c r="G40" s="63">
        <v>4969</v>
      </c>
      <c r="H40" s="63">
        <v>433</v>
      </c>
      <c r="I40" s="63">
        <v>237</v>
      </c>
      <c r="J40" s="63">
        <v>59552</v>
      </c>
      <c r="K40" s="63">
        <v>23885</v>
      </c>
      <c r="L40" s="63">
        <v>157</v>
      </c>
      <c r="M40" s="61" t="s">
        <v>19</v>
      </c>
      <c r="N40" s="61" t="s">
        <v>355</v>
      </c>
      <c r="O40" s="61" t="s">
        <v>16</v>
      </c>
      <c r="P40" s="64">
        <f t="shared" si="0"/>
        <v>9.4690354648038683E-2</v>
      </c>
      <c r="Q40" s="4">
        <f t="shared" si="1"/>
        <v>5639</v>
      </c>
    </row>
    <row r="41" spans="1:17" ht="15.75" customHeight="1" x14ac:dyDescent="0.3">
      <c r="A41" s="55" t="s">
        <v>129</v>
      </c>
      <c r="B41" s="56" t="s">
        <v>22</v>
      </c>
      <c r="C41" s="57">
        <v>45367</v>
      </c>
      <c r="D41" s="56" t="s">
        <v>23</v>
      </c>
      <c r="E41" s="56" t="s">
        <v>26</v>
      </c>
      <c r="F41" s="56"/>
      <c r="G41" s="58">
        <v>2895</v>
      </c>
      <c r="H41" s="58">
        <v>292</v>
      </c>
      <c r="I41" s="58">
        <v>90</v>
      </c>
      <c r="J41" s="58">
        <v>24223</v>
      </c>
      <c r="K41" s="58">
        <v>54626</v>
      </c>
      <c r="L41" s="58">
        <v>114</v>
      </c>
      <c r="M41" s="56" t="s">
        <v>39</v>
      </c>
      <c r="N41" s="56" t="s">
        <v>36</v>
      </c>
      <c r="O41" s="56" t="s">
        <v>16</v>
      </c>
      <c r="P41" s="59">
        <f t="shared" si="0"/>
        <v>0.13528464682326713</v>
      </c>
      <c r="Q41" s="4">
        <f t="shared" si="1"/>
        <v>3277</v>
      </c>
    </row>
    <row r="42" spans="1:17" ht="15.75" customHeight="1" x14ac:dyDescent="0.3">
      <c r="A42" s="60" t="s">
        <v>301</v>
      </c>
      <c r="B42" s="61" t="s">
        <v>28</v>
      </c>
      <c r="C42" s="62">
        <v>45368</v>
      </c>
      <c r="D42" s="61" t="s">
        <v>51</v>
      </c>
      <c r="E42" s="61" t="s">
        <v>18</v>
      </c>
      <c r="F42" s="61"/>
      <c r="G42" s="63">
        <v>2692</v>
      </c>
      <c r="H42" s="63">
        <v>446</v>
      </c>
      <c r="I42" s="63">
        <v>216</v>
      </c>
      <c r="J42" s="63">
        <v>45818</v>
      </c>
      <c r="K42" s="63">
        <v>62723</v>
      </c>
      <c r="L42" s="63">
        <v>85</v>
      </c>
      <c r="M42" s="61" t="s">
        <v>19</v>
      </c>
      <c r="N42" s="61" t="s">
        <v>39</v>
      </c>
      <c r="O42" s="61" t="s">
        <v>52</v>
      </c>
      <c r="P42" s="64">
        <f t="shared" si="0"/>
        <v>7.3202671439172376E-2</v>
      </c>
      <c r="Q42" s="4">
        <f t="shared" si="1"/>
        <v>3354</v>
      </c>
    </row>
    <row r="43" spans="1:17" ht="15.75" customHeight="1" x14ac:dyDescent="0.3">
      <c r="A43" s="60" t="s">
        <v>233</v>
      </c>
      <c r="B43" s="61" t="s">
        <v>22</v>
      </c>
      <c r="C43" s="62">
        <v>45369</v>
      </c>
      <c r="D43" s="61" t="s">
        <v>14</v>
      </c>
      <c r="E43" s="61" t="s">
        <v>24</v>
      </c>
      <c r="F43" s="61"/>
      <c r="G43" s="63">
        <v>2033</v>
      </c>
      <c r="H43" s="63">
        <v>420</v>
      </c>
      <c r="I43" s="63">
        <v>94</v>
      </c>
      <c r="J43" s="63">
        <v>56290</v>
      </c>
      <c r="K43" s="63">
        <v>57391</v>
      </c>
      <c r="L43" s="63">
        <v>196</v>
      </c>
      <c r="M43" s="61" t="s">
        <v>36</v>
      </c>
      <c r="N43" s="61"/>
      <c r="O43" s="61" t="s">
        <v>16</v>
      </c>
      <c r="P43" s="64">
        <f t="shared" si="0"/>
        <v>4.5247823769763724E-2</v>
      </c>
      <c r="Q43" s="4">
        <f t="shared" si="1"/>
        <v>2547</v>
      </c>
    </row>
    <row r="44" spans="1:17" ht="15.75" customHeight="1" x14ac:dyDescent="0.3">
      <c r="A44" s="60" t="s">
        <v>215</v>
      </c>
      <c r="B44" s="61" t="s">
        <v>13</v>
      </c>
      <c r="C44" s="62">
        <v>45370</v>
      </c>
      <c r="D44" s="61" t="s">
        <v>14</v>
      </c>
      <c r="E44" s="61" t="s">
        <v>43</v>
      </c>
      <c r="F44" s="61"/>
      <c r="G44" s="63">
        <v>2878</v>
      </c>
      <c r="H44" s="63">
        <v>278</v>
      </c>
      <c r="I44" s="63">
        <v>255</v>
      </c>
      <c r="J44" s="63">
        <v>47235</v>
      </c>
      <c r="K44" s="63">
        <v>57922</v>
      </c>
      <c r="L44" s="63">
        <v>112</v>
      </c>
      <c r="M44" s="61" t="s">
        <v>39</v>
      </c>
      <c r="N44" s="61" t="s">
        <v>36</v>
      </c>
      <c r="O44" s="61" t="s">
        <v>16</v>
      </c>
      <c r="P44" s="64">
        <f t="shared" si="0"/>
        <v>7.2213401079707848E-2</v>
      </c>
      <c r="Q44" s="4">
        <f t="shared" si="1"/>
        <v>3411</v>
      </c>
    </row>
    <row r="45" spans="1:17" ht="15.75" customHeight="1" x14ac:dyDescent="0.3">
      <c r="A45" s="55" t="s">
        <v>214</v>
      </c>
      <c r="B45" s="56" t="s">
        <v>22</v>
      </c>
      <c r="C45" s="57">
        <v>45370</v>
      </c>
      <c r="D45" s="56" t="s">
        <v>14</v>
      </c>
      <c r="E45" s="56" t="s">
        <v>43</v>
      </c>
      <c r="F45" s="56"/>
      <c r="G45" s="58">
        <v>2191</v>
      </c>
      <c r="H45" s="58">
        <v>288</v>
      </c>
      <c r="I45" s="58">
        <v>83</v>
      </c>
      <c r="J45" s="58">
        <v>59606</v>
      </c>
      <c r="K45" s="58">
        <v>24765</v>
      </c>
      <c r="L45" s="58">
        <v>281</v>
      </c>
      <c r="M45" s="56" t="s">
        <v>39</v>
      </c>
      <c r="N45" s="56"/>
      <c r="O45" s="56" t="s">
        <v>20</v>
      </c>
      <c r="P45" s="59">
        <f t="shared" si="0"/>
        <v>4.2982250109049422E-2</v>
      </c>
      <c r="Q45" s="4">
        <f t="shared" si="1"/>
        <v>2562</v>
      </c>
    </row>
    <row r="46" spans="1:17" ht="15.75" customHeight="1" x14ac:dyDescent="0.3">
      <c r="A46" s="60" t="s">
        <v>128</v>
      </c>
      <c r="B46" s="61" t="s">
        <v>13</v>
      </c>
      <c r="C46" s="62">
        <v>45373</v>
      </c>
      <c r="D46" s="61" t="s">
        <v>23</v>
      </c>
      <c r="E46" s="61" t="s">
        <v>15</v>
      </c>
      <c r="F46" s="61"/>
      <c r="G46" s="63">
        <v>2319</v>
      </c>
      <c r="H46" s="63">
        <v>484</v>
      </c>
      <c r="I46" s="63">
        <v>193</v>
      </c>
      <c r="J46" s="63">
        <v>21202</v>
      </c>
      <c r="K46" s="63">
        <v>18091</v>
      </c>
      <c r="L46" s="63">
        <v>241</v>
      </c>
      <c r="M46" s="61" t="s">
        <v>36</v>
      </c>
      <c r="N46" s="61"/>
      <c r="O46" s="61" t="s">
        <v>49</v>
      </c>
      <c r="P46" s="64">
        <f t="shared" si="0"/>
        <v>0.14130742382794076</v>
      </c>
      <c r="Q46" s="4">
        <f t="shared" si="1"/>
        <v>2996</v>
      </c>
    </row>
    <row r="47" spans="1:17" ht="15.75" customHeight="1" x14ac:dyDescent="0.3">
      <c r="A47" s="60" t="s">
        <v>125</v>
      </c>
      <c r="B47" s="61" t="s">
        <v>28</v>
      </c>
      <c r="C47" s="62">
        <v>45376</v>
      </c>
      <c r="D47" s="61" t="s">
        <v>51</v>
      </c>
      <c r="E47" s="61" t="s">
        <v>18</v>
      </c>
      <c r="F47" s="61"/>
      <c r="G47" s="63">
        <v>1948</v>
      </c>
      <c r="H47" s="63">
        <v>155</v>
      </c>
      <c r="I47" s="63">
        <v>315</v>
      </c>
      <c r="J47" s="63">
        <v>30321</v>
      </c>
      <c r="K47" s="63">
        <v>57121</v>
      </c>
      <c r="L47" s="63">
        <v>82</v>
      </c>
      <c r="M47" s="61" t="s">
        <v>19</v>
      </c>
      <c r="N47" s="61" t="s">
        <v>39</v>
      </c>
      <c r="O47" s="61" t="s">
        <v>52</v>
      </c>
      <c r="P47" s="64">
        <f t="shared" si="0"/>
        <v>7.974671020085089E-2</v>
      </c>
      <c r="Q47" s="4">
        <f t="shared" si="1"/>
        <v>2418</v>
      </c>
    </row>
    <row r="48" spans="1:17" ht="15.75" customHeight="1" x14ac:dyDescent="0.3">
      <c r="A48" s="55" t="s">
        <v>296</v>
      </c>
      <c r="B48" s="56" t="s">
        <v>28</v>
      </c>
      <c r="C48" s="57">
        <v>45378</v>
      </c>
      <c r="D48" s="56" t="s">
        <v>14</v>
      </c>
      <c r="E48" s="56" t="s">
        <v>29</v>
      </c>
      <c r="F48" s="56"/>
      <c r="G48" s="58">
        <v>2399</v>
      </c>
      <c r="H48" s="58">
        <v>191</v>
      </c>
      <c r="I48" s="58">
        <v>221</v>
      </c>
      <c r="J48" s="58">
        <v>51603</v>
      </c>
      <c r="K48" s="58">
        <v>40033</v>
      </c>
      <c r="L48" s="58">
        <v>173</v>
      </c>
      <c r="M48" s="56" t="s">
        <v>19</v>
      </c>
      <c r="N48" s="56" t="s">
        <v>354</v>
      </c>
      <c r="O48" s="56" t="s">
        <v>20</v>
      </c>
      <c r="P48" s="59">
        <f t="shared" si="0"/>
        <v>5.4473577117609438E-2</v>
      </c>
      <c r="Q48" s="4">
        <f t="shared" si="1"/>
        <v>2811</v>
      </c>
    </row>
    <row r="49" spans="1:17" ht="15.75" customHeight="1" x14ac:dyDescent="0.3">
      <c r="A49" s="55" t="s">
        <v>101</v>
      </c>
      <c r="B49" s="56" t="s">
        <v>22</v>
      </c>
      <c r="C49" s="57">
        <v>45379</v>
      </c>
      <c r="D49" s="56" t="s">
        <v>14</v>
      </c>
      <c r="E49" s="56" t="s">
        <v>29</v>
      </c>
      <c r="F49" s="56"/>
      <c r="G49" s="58">
        <v>3276</v>
      </c>
      <c r="H49" s="58">
        <v>421</v>
      </c>
      <c r="I49" s="58">
        <v>114</v>
      </c>
      <c r="J49" s="58">
        <v>20580</v>
      </c>
      <c r="K49" s="58">
        <v>30324</v>
      </c>
      <c r="L49" s="58">
        <v>221</v>
      </c>
      <c r="M49" s="56" t="s">
        <v>39</v>
      </c>
      <c r="N49" s="56"/>
      <c r="O49" s="56" t="s">
        <v>20</v>
      </c>
      <c r="P49" s="59">
        <f t="shared" si="0"/>
        <v>0.18517978620019437</v>
      </c>
      <c r="Q49" s="4">
        <f t="shared" si="1"/>
        <v>3811</v>
      </c>
    </row>
    <row r="50" spans="1:17" ht="15.75" customHeight="1" x14ac:dyDescent="0.3">
      <c r="A50" s="60" t="s">
        <v>264</v>
      </c>
      <c r="B50" s="61" t="s">
        <v>13</v>
      </c>
      <c r="C50" s="62">
        <v>45379</v>
      </c>
      <c r="D50" s="61" t="s">
        <v>14</v>
      </c>
      <c r="E50" s="61" t="s">
        <v>360</v>
      </c>
      <c r="F50" s="61" t="s">
        <v>361</v>
      </c>
      <c r="G50" s="63">
        <v>1673</v>
      </c>
      <c r="H50" s="63">
        <v>280</v>
      </c>
      <c r="I50" s="63">
        <v>67</v>
      </c>
      <c r="J50" s="63">
        <v>29847</v>
      </c>
      <c r="K50" s="63">
        <v>48016</v>
      </c>
      <c r="L50" s="63">
        <v>213</v>
      </c>
      <c r="M50" s="61" t="s">
        <v>39</v>
      </c>
      <c r="N50" s="61" t="s">
        <v>36</v>
      </c>
      <c r="O50" s="61" t="s">
        <v>16</v>
      </c>
      <c r="P50" s="64">
        <f t="shared" si="0"/>
        <v>6.76784936509532E-2</v>
      </c>
      <c r="Q50" s="4">
        <f t="shared" si="1"/>
        <v>2020</v>
      </c>
    </row>
    <row r="51" spans="1:17" ht="15.75" customHeight="1" x14ac:dyDescent="0.3">
      <c r="A51" s="55" t="s">
        <v>100</v>
      </c>
      <c r="B51" s="56" t="s">
        <v>28</v>
      </c>
      <c r="C51" s="57">
        <v>45384</v>
      </c>
      <c r="D51" s="56" t="s">
        <v>51</v>
      </c>
      <c r="E51" s="56" t="s">
        <v>45</v>
      </c>
      <c r="F51" s="56"/>
      <c r="G51" s="58">
        <v>4563</v>
      </c>
      <c r="H51" s="58">
        <v>488</v>
      </c>
      <c r="I51" s="58">
        <v>356</v>
      </c>
      <c r="J51" s="58">
        <v>30619</v>
      </c>
      <c r="K51" s="58">
        <v>23328</v>
      </c>
      <c r="L51" s="58">
        <v>267</v>
      </c>
      <c r="M51" s="56" t="s">
        <v>19</v>
      </c>
      <c r="N51" s="56" t="s">
        <v>39</v>
      </c>
      <c r="O51" s="56" t="s">
        <v>52</v>
      </c>
      <c r="P51" s="59">
        <f t="shared" si="0"/>
        <v>0.17658969920637513</v>
      </c>
      <c r="Q51" s="4">
        <f t="shared" si="1"/>
        <v>5407</v>
      </c>
    </row>
    <row r="52" spans="1:17" ht="15.75" customHeight="1" x14ac:dyDescent="0.3">
      <c r="A52" s="55" t="s">
        <v>201</v>
      </c>
      <c r="B52" s="56" t="s">
        <v>13</v>
      </c>
      <c r="C52" s="57">
        <v>45385</v>
      </c>
      <c r="D52" s="56" t="s">
        <v>14</v>
      </c>
      <c r="E52" s="56" t="s">
        <v>35</v>
      </c>
      <c r="F52" s="56"/>
      <c r="G52" s="58">
        <v>2762</v>
      </c>
      <c r="H52" s="58">
        <v>339</v>
      </c>
      <c r="I52" s="58">
        <v>323</v>
      </c>
      <c r="J52" s="58">
        <v>33757</v>
      </c>
      <c r="K52" s="58">
        <v>68511</v>
      </c>
      <c r="L52" s="58">
        <v>121</v>
      </c>
      <c r="M52" s="56" t="s">
        <v>39</v>
      </c>
      <c r="N52" s="56" t="s">
        <v>36</v>
      </c>
      <c r="O52" s="56" t="s">
        <v>16</v>
      </c>
      <c r="P52" s="59">
        <f t="shared" si="0"/>
        <v>0.10143081434961637</v>
      </c>
      <c r="Q52" s="4">
        <f t="shared" si="1"/>
        <v>3424</v>
      </c>
    </row>
    <row r="53" spans="1:17" ht="15.75" customHeight="1" x14ac:dyDescent="0.3">
      <c r="A53" s="55" t="s">
        <v>288</v>
      </c>
      <c r="B53" s="56" t="s">
        <v>22</v>
      </c>
      <c r="C53" s="57">
        <v>45385</v>
      </c>
      <c r="D53" s="56" t="s">
        <v>23</v>
      </c>
      <c r="E53" s="56" t="s">
        <v>35</v>
      </c>
      <c r="F53" s="56"/>
      <c r="G53" s="58">
        <v>2291</v>
      </c>
      <c r="H53" s="58">
        <v>146</v>
      </c>
      <c r="I53" s="58">
        <v>399</v>
      </c>
      <c r="J53" s="58">
        <v>49319</v>
      </c>
      <c r="K53" s="58">
        <v>28056</v>
      </c>
      <c r="L53" s="58">
        <v>90</v>
      </c>
      <c r="M53" s="56" t="s">
        <v>19</v>
      </c>
      <c r="N53" s="56" t="s">
        <v>355</v>
      </c>
      <c r="O53" s="56" t="s">
        <v>16</v>
      </c>
      <c r="P53" s="59">
        <f t="shared" si="0"/>
        <v>5.7503193495407452E-2</v>
      </c>
      <c r="Q53" s="4">
        <f t="shared" si="1"/>
        <v>2836</v>
      </c>
    </row>
    <row r="54" spans="1:17" ht="15.75" customHeight="1" x14ac:dyDescent="0.3">
      <c r="A54" s="60" t="s">
        <v>170</v>
      </c>
      <c r="B54" s="61" t="s">
        <v>22</v>
      </c>
      <c r="C54" s="62">
        <v>45387</v>
      </c>
      <c r="D54" s="61" t="s">
        <v>23</v>
      </c>
      <c r="E54" s="61" t="s">
        <v>24</v>
      </c>
      <c r="F54" s="61"/>
      <c r="G54" s="63">
        <v>4965</v>
      </c>
      <c r="H54" s="63">
        <v>175</v>
      </c>
      <c r="I54" s="63">
        <v>307</v>
      </c>
      <c r="J54" s="63">
        <v>32793</v>
      </c>
      <c r="K54" s="63">
        <v>43412</v>
      </c>
      <c r="L54" s="63">
        <v>296</v>
      </c>
      <c r="M54" s="61" t="s">
        <v>39</v>
      </c>
      <c r="N54" s="61" t="s">
        <v>36</v>
      </c>
      <c r="O54" s="61" t="s">
        <v>16</v>
      </c>
      <c r="P54" s="64">
        <f t="shared" si="0"/>
        <v>0.16610252187966945</v>
      </c>
      <c r="Q54" s="4">
        <f t="shared" si="1"/>
        <v>5447</v>
      </c>
    </row>
    <row r="55" spans="1:17" ht="15.75" customHeight="1" x14ac:dyDescent="0.3">
      <c r="A55" s="55" t="s">
        <v>199</v>
      </c>
      <c r="B55" s="56" t="s">
        <v>13</v>
      </c>
      <c r="C55" s="57">
        <v>45387</v>
      </c>
      <c r="D55" s="56" t="s">
        <v>14</v>
      </c>
      <c r="E55" s="56" t="s">
        <v>24</v>
      </c>
      <c r="F55" s="56"/>
      <c r="G55" s="58">
        <v>4383</v>
      </c>
      <c r="H55" s="58">
        <v>352</v>
      </c>
      <c r="I55" s="58">
        <v>176</v>
      </c>
      <c r="J55" s="58">
        <v>53239</v>
      </c>
      <c r="K55" s="58">
        <v>34168</v>
      </c>
      <c r="L55" s="58">
        <v>288</v>
      </c>
      <c r="M55" s="56" t="s">
        <v>19</v>
      </c>
      <c r="N55" s="56"/>
      <c r="O55" s="56" t="s">
        <v>20</v>
      </c>
      <c r="P55" s="59">
        <f t="shared" si="0"/>
        <v>9.2244407295403744E-2</v>
      </c>
      <c r="Q55" s="4">
        <f t="shared" si="1"/>
        <v>4911</v>
      </c>
    </row>
    <row r="56" spans="1:17" ht="15.75" customHeight="1" x14ac:dyDescent="0.3">
      <c r="A56" s="55" t="s">
        <v>240</v>
      </c>
      <c r="B56" s="56" t="s">
        <v>22</v>
      </c>
      <c r="C56" s="57">
        <v>45387</v>
      </c>
      <c r="D56" s="56" t="s">
        <v>23</v>
      </c>
      <c r="E56" s="56" t="s">
        <v>26</v>
      </c>
      <c r="F56" s="56"/>
      <c r="G56" s="58">
        <v>2857</v>
      </c>
      <c r="H56" s="58">
        <v>443</v>
      </c>
      <c r="I56" s="58">
        <v>359</v>
      </c>
      <c r="J56" s="58">
        <v>51519</v>
      </c>
      <c r="K56" s="58">
        <v>28256</v>
      </c>
      <c r="L56" s="58">
        <v>155</v>
      </c>
      <c r="M56" s="56" t="s">
        <v>39</v>
      </c>
      <c r="N56" s="56" t="s">
        <v>36</v>
      </c>
      <c r="O56" s="56" t="s">
        <v>16</v>
      </c>
      <c r="P56" s="59">
        <f t="shared" si="0"/>
        <v>7.1022341272152026E-2</v>
      </c>
      <c r="Q56" s="4">
        <f t="shared" si="1"/>
        <v>3659</v>
      </c>
    </row>
    <row r="57" spans="1:17" ht="15.75" customHeight="1" x14ac:dyDescent="0.3">
      <c r="A57" s="55" t="s">
        <v>27</v>
      </c>
      <c r="B57" s="56" t="s">
        <v>28</v>
      </c>
      <c r="C57" s="57">
        <v>45388</v>
      </c>
      <c r="D57" s="56" t="s">
        <v>14</v>
      </c>
      <c r="E57" s="56" t="s">
        <v>29</v>
      </c>
      <c r="F57" s="56"/>
      <c r="G57" s="58">
        <v>2748</v>
      </c>
      <c r="H57" s="58">
        <v>145</v>
      </c>
      <c r="I57" s="58">
        <v>315</v>
      </c>
      <c r="J57" s="58">
        <v>24401</v>
      </c>
      <c r="K57" s="58">
        <v>61182</v>
      </c>
      <c r="L57" s="58">
        <v>200</v>
      </c>
      <c r="M57" s="56" t="s">
        <v>19</v>
      </c>
      <c r="N57" s="56" t="s">
        <v>354</v>
      </c>
      <c r="O57" s="56" t="s">
        <v>20</v>
      </c>
      <c r="P57" s="59">
        <f t="shared" si="0"/>
        <v>0.1314700217204213</v>
      </c>
      <c r="Q57" s="4">
        <f t="shared" si="1"/>
        <v>3208</v>
      </c>
    </row>
    <row r="58" spans="1:17" ht="15.75" customHeight="1" x14ac:dyDescent="0.3">
      <c r="A58" s="55" t="s">
        <v>192</v>
      </c>
      <c r="B58" s="56" t="s">
        <v>13</v>
      </c>
      <c r="C58" s="57">
        <v>45394</v>
      </c>
      <c r="D58" s="56" t="s">
        <v>23</v>
      </c>
      <c r="E58" s="56" t="s">
        <v>32</v>
      </c>
      <c r="F58" s="56"/>
      <c r="G58" s="58">
        <v>1558</v>
      </c>
      <c r="H58" s="58">
        <v>352</v>
      </c>
      <c r="I58" s="58">
        <v>202</v>
      </c>
      <c r="J58" s="58">
        <v>25405</v>
      </c>
      <c r="K58" s="58">
        <v>69941</v>
      </c>
      <c r="L58" s="58">
        <v>219</v>
      </c>
      <c r="M58" s="56" t="s">
        <v>36</v>
      </c>
      <c r="N58" s="56"/>
      <c r="O58" s="56" t="s">
        <v>49</v>
      </c>
      <c r="P58" s="59">
        <f t="shared" si="0"/>
        <v>8.3133241487896081E-2</v>
      </c>
      <c r="Q58" s="4">
        <f t="shared" si="1"/>
        <v>2112</v>
      </c>
    </row>
    <row r="59" spans="1:17" ht="15.75" customHeight="1" x14ac:dyDescent="0.3">
      <c r="A59" s="55" t="s">
        <v>244</v>
      </c>
      <c r="B59" s="56" t="s">
        <v>22</v>
      </c>
      <c r="C59" s="57">
        <v>45396</v>
      </c>
      <c r="D59" s="56" t="s">
        <v>23</v>
      </c>
      <c r="E59" s="56" t="s">
        <v>15</v>
      </c>
      <c r="F59" s="56"/>
      <c r="G59" s="58">
        <v>1295</v>
      </c>
      <c r="H59" s="58">
        <v>153</v>
      </c>
      <c r="I59" s="58">
        <v>81</v>
      </c>
      <c r="J59" s="58">
        <v>48350</v>
      </c>
      <c r="K59" s="58">
        <v>61033</v>
      </c>
      <c r="L59" s="58">
        <v>232</v>
      </c>
      <c r="M59" s="56" t="s">
        <v>19</v>
      </c>
      <c r="N59" s="56" t="s">
        <v>355</v>
      </c>
      <c r="O59" s="56" t="s">
        <v>16</v>
      </c>
      <c r="P59" s="59">
        <f t="shared" si="0"/>
        <v>3.1623578076525334E-2</v>
      </c>
      <c r="Q59" s="4">
        <f t="shared" si="1"/>
        <v>1529</v>
      </c>
    </row>
    <row r="60" spans="1:17" ht="15.75" customHeight="1" x14ac:dyDescent="0.3">
      <c r="A60" s="60" t="s">
        <v>93</v>
      </c>
      <c r="B60" s="61" t="s">
        <v>28</v>
      </c>
      <c r="C60" s="62">
        <v>45398</v>
      </c>
      <c r="D60" s="61" t="s">
        <v>14</v>
      </c>
      <c r="E60" s="61" t="s">
        <v>15</v>
      </c>
      <c r="F60" s="61"/>
      <c r="G60" s="63">
        <v>4674</v>
      </c>
      <c r="H60" s="63">
        <v>326</v>
      </c>
      <c r="I60" s="63">
        <v>62</v>
      </c>
      <c r="J60" s="63">
        <v>45503</v>
      </c>
      <c r="K60" s="63">
        <v>46814</v>
      </c>
      <c r="L60" s="63">
        <v>116</v>
      </c>
      <c r="M60" s="61" t="s">
        <v>19</v>
      </c>
      <c r="N60" s="61" t="s">
        <v>354</v>
      </c>
      <c r="O60" s="61" t="s">
        <v>20</v>
      </c>
      <c r="P60" s="64">
        <f t="shared" si="0"/>
        <v>0.11124541239039185</v>
      </c>
      <c r="Q60" s="4">
        <f t="shared" si="1"/>
        <v>5062</v>
      </c>
    </row>
    <row r="61" spans="1:17" ht="15.75" customHeight="1" x14ac:dyDescent="0.3">
      <c r="A61" s="60" t="s">
        <v>205</v>
      </c>
      <c r="B61" s="61" t="s">
        <v>28</v>
      </c>
      <c r="C61" s="62">
        <v>45400</v>
      </c>
      <c r="D61" s="61" t="s">
        <v>14</v>
      </c>
      <c r="E61" s="61" t="s">
        <v>18</v>
      </c>
      <c r="F61" s="61"/>
      <c r="G61" s="63">
        <v>4023</v>
      </c>
      <c r="H61" s="63">
        <v>293</v>
      </c>
      <c r="I61" s="63">
        <v>91</v>
      </c>
      <c r="J61" s="63">
        <v>26795</v>
      </c>
      <c r="K61" s="63">
        <v>28924</v>
      </c>
      <c r="L61" s="63">
        <v>278</v>
      </c>
      <c r="M61" s="61" t="s">
        <v>19</v>
      </c>
      <c r="N61" s="61" t="s">
        <v>354</v>
      </c>
      <c r="O61" s="61" t="s">
        <v>20</v>
      </c>
      <c r="P61" s="64">
        <f t="shared" si="0"/>
        <v>0.16447098339242397</v>
      </c>
      <c r="Q61" s="4">
        <f t="shared" si="1"/>
        <v>4407</v>
      </c>
    </row>
    <row r="62" spans="1:17" ht="15.75" customHeight="1" x14ac:dyDescent="0.3">
      <c r="A62" s="60" t="s">
        <v>74</v>
      </c>
      <c r="B62" s="61" t="s">
        <v>13</v>
      </c>
      <c r="C62" s="62">
        <v>45401</v>
      </c>
      <c r="D62" s="61" t="s">
        <v>14</v>
      </c>
      <c r="E62" s="61" t="s">
        <v>24</v>
      </c>
      <c r="F62" s="61"/>
      <c r="G62" s="63">
        <v>4001</v>
      </c>
      <c r="H62" s="63">
        <v>353</v>
      </c>
      <c r="I62" s="63">
        <v>129</v>
      </c>
      <c r="J62" s="63">
        <v>41265</v>
      </c>
      <c r="K62" s="63">
        <v>37279</v>
      </c>
      <c r="L62" s="63">
        <v>275</v>
      </c>
      <c r="M62" s="61" t="s">
        <v>39</v>
      </c>
      <c r="N62" s="61" t="s">
        <v>36</v>
      </c>
      <c r="O62" s="61" t="s">
        <v>16</v>
      </c>
      <c r="P62" s="64">
        <f t="shared" si="0"/>
        <v>0.10863928268508422</v>
      </c>
      <c r="Q62" s="4">
        <f t="shared" si="1"/>
        <v>4483</v>
      </c>
    </row>
    <row r="63" spans="1:17" ht="15.75" customHeight="1" x14ac:dyDescent="0.3">
      <c r="A63" s="55" t="s">
        <v>120</v>
      </c>
      <c r="B63" s="56" t="s">
        <v>22</v>
      </c>
      <c r="C63" s="57">
        <v>45405</v>
      </c>
      <c r="D63" s="56" t="s">
        <v>23</v>
      </c>
      <c r="E63" s="56" t="s">
        <v>15</v>
      </c>
      <c r="F63" s="56"/>
      <c r="G63" s="58">
        <v>2683</v>
      </c>
      <c r="H63" s="58">
        <v>496</v>
      </c>
      <c r="I63" s="58">
        <v>89</v>
      </c>
      <c r="J63" s="58">
        <v>53435</v>
      </c>
      <c r="K63" s="58">
        <v>30334</v>
      </c>
      <c r="L63" s="58">
        <v>160</v>
      </c>
      <c r="M63" s="56" t="s">
        <v>39</v>
      </c>
      <c r="N63" s="56" t="s">
        <v>36</v>
      </c>
      <c r="O63" s="56" t="s">
        <v>16</v>
      </c>
      <c r="P63" s="59">
        <f t="shared" si="0"/>
        <v>6.1158416768035934E-2</v>
      </c>
      <c r="Q63" s="4">
        <f t="shared" si="1"/>
        <v>3268</v>
      </c>
    </row>
    <row r="64" spans="1:17" ht="15.75" customHeight="1" x14ac:dyDescent="0.3">
      <c r="A64" s="55" t="s">
        <v>188</v>
      </c>
      <c r="B64" s="56" t="s">
        <v>13</v>
      </c>
      <c r="C64" s="57">
        <v>45407</v>
      </c>
      <c r="D64" s="56" t="s">
        <v>14</v>
      </c>
      <c r="E64" s="56" t="s">
        <v>29</v>
      </c>
      <c r="F64" s="56"/>
      <c r="G64" s="58">
        <v>3563</v>
      </c>
      <c r="H64" s="58">
        <v>483</v>
      </c>
      <c r="I64" s="58">
        <v>227</v>
      </c>
      <c r="J64" s="58">
        <v>41085</v>
      </c>
      <c r="K64" s="58">
        <v>26393</v>
      </c>
      <c r="L64" s="58">
        <v>236</v>
      </c>
      <c r="M64" s="56" t="s">
        <v>39</v>
      </c>
      <c r="N64" s="56" t="s">
        <v>36</v>
      </c>
      <c r="O64" s="56" t="s">
        <v>16</v>
      </c>
      <c r="P64" s="59">
        <f t="shared" si="0"/>
        <v>0.10400389436534015</v>
      </c>
      <c r="Q64" s="4">
        <f t="shared" si="1"/>
        <v>4273</v>
      </c>
    </row>
    <row r="65" spans="1:17" ht="15.75" customHeight="1" x14ac:dyDescent="0.3">
      <c r="A65" s="55" t="s">
        <v>319</v>
      </c>
      <c r="B65" s="56" t="s">
        <v>13</v>
      </c>
      <c r="C65" s="57">
        <v>45413</v>
      </c>
      <c r="D65" s="56" t="s">
        <v>14</v>
      </c>
      <c r="E65" s="56" t="s">
        <v>32</v>
      </c>
      <c r="F65" s="56"/>
      <c r="G65" s="58">
        <v>3359</v>
      </c>
      <c r="H65" s="58">
        <v>137</v>
      </c>
      <c r="I65" s="58">
        <v>387</v>
      </c>
      <c r="J65" s="58">
        <v>33861</v>
      </c>
      <c r="K65" s="58">
        <v>47257</v>
      </c>
      <c r="L65" s="58">
        <v>198</v>
      </c>
      <c r="M65" s="56" t="s">
        <v>19</v>
      </c>
      <c r="N65" s="56"/>
      <c r="O65" s="56" t="s">
        <v>20</v>
      </c>
      <c r="P65" s="59">
        <f t="shared" si="0"/>
        <v>0.11467469950680724</v>
      </c>
      <c r="Q65" s="4">
        <f t="shared" si="1"/>
        <v>3883</v>
      </c>
    </row>
    <row r="66" spans="1:17" ht="15.75" customHeight="1" x14ac:dyDescent="0.3">
      <c r="A66" s="55" t="s">
        <v>137</v>
      </c>
      <c r="B66" s="56" t="s">
        <v>22</v>
      </c>
      <c r="C66" s="57">
        <v>45413</v>
      </c>
      <c r="D66" s="56" t="s">
        <v>23</v>
      </c>
      <c r="E66" s="56" t="s">
        <v>360</v>
      </c>
      <c r="F66" s="56" t="s">
        <v>361</v>
      </c>
      <c r="G66" s="58">
        <v>2587</v>
      </c>
      <c r="H66" s="58">
        <v>447</v>
      </c>
      <c r="I66" s="58">
        <v>183</v>
      </c>
      <c r="J66" s="58">
        <v>36266</v>
      </c>
      <c r="K66" s="58">
        <v>32877</v>
      </c>
      <c r="L66" s="58">
        <v>132</v>
      </c>
      <c r="M66" s="56" t="s">
        <v>19</v>
      </c>
      <c r="N66" s="56" t="s">
        <v>355</v>
      </c>
      <c r="O66" s="56" t="s">
        <v>16</v>
      </c>
      <c r="P66" s="59">
        <f t="shared" ref="P66:P129" si="2">(G66+H66+I66)/J66</f>
        <v>8.8705674736667947E-2</v>
      </c>
      <c r="Q66" s="4">
        <f t="shared" si="1"/>
        <v>3217</v>
      </c>
    </row>
    <row r="67" spans="1:17" ht="15.75" customHeight="1" x14ac:dyDescent="0.3">
      <c r="A67" s="60" t="s">
        <v>69</v>
      </c>
      <c r="B67" s="61" t="s">
        <v>13</v>
      </c>
      <c r="C67" s="62">
        <v>45416</v>
      </c>
      <c r="D67" s="61" t="s">
        <v>14</v>
      </c>
      <c r="E67" s="61" t="s">
        <v>26</v>
      </c>
      <c r="F67" s="61"/>
      <c r="G67" s="63">
        <v>2274</v>
      </c>
      <c r="H67" s="63">
        <v>243</v>
      </c>
      <c r="I67" s="63">
        <v>222</v>
      </c>
      <c r="J67" s="63">
        <v>43066</v>
      </c>
      <c r="K67" s="63">
        <v>59174</v>
      </c>
      <c r="L67" s="63">
        <v>80</v>
      </c>
      <c r="M67" s="61" t="s">
        <v>19</v>
      </c>
      <c r="N67" s="61"/>
      <c r="O67" s="61" t="s">
        <v>20</v>
      </c>
      <c r="P67" s="64">
        <f t="shared" si="2"/>
        <v>6.3600055728416843E-2</v>
      </c>
      <c r="Q67" s="4">
        <f t="shared" ref="Q67:Q130" si="3">G67+H67+I67</f>
        <v>2739</v>
      </c>
    </row>
    <row r="68" spans="1:17" ht="15.75" customHeight="1" x14ac:dyDescent="0.3">
      <c r="A68" s="60" t="s">
        <v>44</v>
      </c>
      <c r="B68" s="61" t="s">
        <v>22</v>
      </c>
      <c r="C68" s="62">
        <v>45418</v>
      </c>
      <c r="D68" s="61" t="s">
        <v>14</v>
      </c>
      <c r="E68" s="61" t="s">
        <v>45</v>
      </c>
      <c r="F68" s="61"/>
      <c r="G68" s="63">
        <v>3476</v>
      </c>
      <c r="H68" s="63">
        <v>355</v>
      </c>
      <c r="I68" s="63">
        <v>396</v>
      </c>
      <c r="J68" s="63">
        <v>37492</v>
      </c>
      <c r="K68" s="63">
        <v>27285</v>
      </c>
      <c r="L68" s="63">
        <v>179</v>
      </c>
      <c r="M68" s="61" t="s">
        <v>36</v>
      </c>
      <c r="N68" s="61"/>
      <c r="O68" s="61" t="s">
        <v>16</v>
      </c>
      <c r="P68" s="64">
        <f t="shared" si="2"/>
        <v>0.11274405206444041</v>
      </c>
      <c r="Q68" s="4">
        <f t="shared" si="3"/>
        <v>4227</v>
      </c>
    </row>
    <row r="69" spans="1:17" ht="15.75" customHeight="1" x14ac:dyDescent="0.3">
      <c r="A69" s="60" t="s">
        <v>65</v>
      </c>
      <c r="B69" s="61" t="s">
        <v>22</v>
      </c>
      <c r="C69" s="62">
        <v>45419</v>
      </c>
      <c r="D69" s="61" t="s">
        <v>23</v>
      </c>
      <c r="E69" s="61" t="s">
        <v>18</v>
      </c>
      <c r="F69" s="61"/>
      <c r="G69" s="63">
        <v>2776</v>
      </c>
      <c r="H69" s="63">
        <v>307</v>
      </c>
      <c r="I69" s="63">
        <v>178</v>
      </c>
      <c r="J69" s="63">
        <v>43365</v>
      </c>
      <c r="K69" s="63">
        <v>48408</v>
      </c>
      <c r="L69" s="63">
        <v>138</v>
      </c>
      <c r="M69" s="61" t="s">
        <v>39</v>
      </c>
      <c r="N69" s="61" t="s">
        <v>36</v>
      </c>
      <c r="O69" s="61" t="s">
        <v>16</v>
      </c>
      <c r="P69" s="64">
        <f t="shared" si="2"/>
        <v>7.519889311656866E-2</v>
      </c>
      <c r="Q69" s="4">
        <f t="shared" si="3"/>
        <v>3261</v>
      </c>
    </row>
    <row r="70" spans="1:17" ht="15.75" customHeight="1" x14ac:dyDescent="0.3">
      <c r="A70" s="55" t="s">
        <v>198</v>
      </c>
      <c r="B70" s="56" t="s">
        <v>13</v>
      </c>
      <c r="C70" s="57">
        <v>45420</v>
      </c>
      <c r="D70" s="56" t="s">
        <v>23</v>
      </c>
      <c r="E70" s="56" t="s">
        <v>29</v>
      </c>
      <c r="F70" s="56"/>
      <c r="G70" s="58">
        <v>2414</v>
      </c>
      <c r="H70" s="58">
        <v>220</v>
      </c>
      <c r="I70" s="58">
        <v>280</v>
      </c>
      <c r="J70" s="58">
        <v>27355</v>
      </c>
      <c r="K70" s="58">
        <v>50562</v>
      </c>
      <c r="L70" s="58">
        <v>258</v>
      </c>
      <c r="M70" s="56" t="s">
        <v>36</v>
      </c>
      <c r="N70" s="56"/>
      <c r="O70" s="56" t="s">
        <v>49</v>
      </c>
      <c r="P70" s="59">
        <f t="shared" si="2"/>
        <v>0.10652531529884847</v>
      </c>
      <c r="Q70" s="4">
        <f t="shared" si="3"/>
        <v>2914</v>
      </c>
    </row>
    <row r="71" spans="1:17" ht="15.75" customHeight="1" x14ac:dyDescent="0.3">
      <c r="A71" s="60" t="s">
        <v>88</v>
      </c>
      <c r="B71" s="61" t="s">
        <v>22</v>
      </c>
      <c r="C71" s="62">
        <v>45420</v>
      </c>
      <c r="D71" s="61" t="s">
        <v>14</v>
      </c>
      <c r="E71" s="61" t="s">
        <v>18</v>
      </c>
      <c r="F71" s="61"/>
      <c r="G71" s="63">
        <v>1828</v>
      </c>
      <c r="H71" s="63">
        <v>450</v>
      </c>
      <c r="I71" s="63">
        <v>214</v>
      </c>
      <c r="J71" s="63">
        <v>52115</v>
      </c>
      <c r="K71" s="63">
        <v>19166</v>
      </c>
      <c r="L71" s="63">
        <v>190</v>
      </c>
      <c r="M71" s="61" t="s">
        <v>36</v>
      </c>
      <c r="N71" s="61"/>
      <c r="O71" s="61" t="s">
        <v>16</v>
      </c>
      <c r="P71" s="64">
        <f t="shared" si="2"/>
        <v>4.781732706514439E-2</v>
      </c>
      <c r="Q71" s="4">
        <f t="shared" si="3"/>
        <v>2492</v>
      </c>
    </row>
    <row r="72" spans="1:17" ht="15.75" customHeight="1" x14ac:dyDescent="0.3">
      <c r="A72" s="55" t="s">
        <v>33</v>
      </c>
      <c r="B72" s="56" t="s">
        <v>22</v>
      </c>
      <c r="C72" s="57">
        <v>45421</v>
      </c>
      <c r="D72" s="56" t="s">
        <v>23</v>
      </c>
      <c r="E72" s="56" t="s">
        <v>26</v>
      </c>
      <c r="F72" s="56"/>
      <c r="G72" s="58">
        <v>1428</v>
      </c>
      <c r="H72" s="58">
        <v>347</v>
      </c>
      <c r="I72" s="58">
        <v>67</v>
      </c>
      <c r="J72" s="58">
        <v>21148</v>
      </c>
      <c r="K72" s="58">
        <v>19712</v>
      </c>
      <c r="L72" s="58">
        <v>120</v>
      </c>
      <c r="M72" s="56" t="s">
        <v>19</v>
      </c>
      <c r="N72" s="56" t="s">
        <v>355</v>
      </c>
      <c r="O72" s="56" t="s">
        <v>16</v>
      </c>
      <c r="P72" s="59">
        <f t="shared" si="2"/>
        <v>8.7100435029317191E-2</v>
      </c>
      <c r="Q72" s="4">
        <f t="shared" si="3"/>
        <v>1842</v>
      </c>
    </row>
    <row r="73" spans="1:17" ht="15.75" customHeight="1" x14ac:dyDescent="0.3">
      <c r="A73" s="55" t="s">
        <v>157</v>
      </c>
      <c r="B73" s="56" t="s">
        <v>22</v>
      </c>
      <c r="C73" s="57">
        <v>45421</v>
      </c>
      <c r="D73" s="56" t="s">
        <v>23</v>
      </c>
      <c r="E73" s="56" t="s">
        <v>24</v>
      </c>
      <c r="F73" s="56"/>
      <c r="G73" s="58">
        <v>3277</v>
      </c>
      <c r="H73" s="58">
        <v>423</v>
      </c>
      <c r="I73" s="58">
        <v>259</v>
      </c>
      <c r="J73" s="58">
        <v>46328</v>
      </c>
      <c r="K73" s="58">
        <v>44293</v>
      </c>
      <c r="L73" s="58">
        <v>299</v>
      </c>
      <c r="M73" s="56" t="s">
        <v>39</v>
      </c>
      <c r="N73" s="56" t="s">
        <v>36</v>
      </c>
      <c r="O73" s="56" t="s">
        <v>16</v>
      </c>
      <c r="P73" s="59">
        <f t="shared" si="2"/>
        <v>8.5455879813503707E-2</v>
      </c>
      <c r="Q73" s="4">
        <f t="shared" si="3"/>
        <v>3959</v>
      </c>
    </row>
    <row r="74" spans="1:17" ht="15.75" customHeight="1" x14ac:dyDescent="0.3">
      <c r="A74" s="55" t="s">
        <v>227</v>
      </c>
      <c r="B74" s="56" t="s">
        <v>22</v>
      </c>
      <c r="C74" s="57">
        <v>45422</v>
      </c>
      <c r="D74" s="56" t="s">
        <v>23</v>
      </c>
      <c r="E74" s="56" t="s">
        <v>18</v>
      </c>
      <c r="F74" s="56"/>
      <c r="G74" s="58">
        <v>2784</v>
      </c>
      <c r="H74" s="58">
        <v>111</v>
      </c>
      <c r="I74" s="58">
        <v>399</v>
      </c>
      <c r="J74" s="58">
        <v>58366</v>
      </c>
      <c r="K74" s="58">
        <v>69512</v>
      </c>
      <c r="L74" s="58">
        <v>269</v>
      </c>
      <c r="M74" s="56" t="s">
        <v>355</v>
      </c>
      <c r="N74" s="56" t="s">
        <v>36</v>
      </c>
      <c r="O74" s="56" t="s">
        <v>16</v>
      </c>
      <c r="P74" s="59">
        <f t="shared" si="2"/>
        <v>5.6436966727204191E-2</v>
      </c>
      <c r="Q74" s="4">
        <f t="shared" si="3"/>
        <v>3294</v>
      </c>
    </row>
    <row r="75" spans="1:17" ht="15.75" customHeight="1" x14ac:dyDescent="0.3">
      <c r="A75" s="60" t="s">
        <v>156</v>
      </c>
      <c r="B75" s="61" t="s">
        <v>28</v>
      </c>
      <c r="C75" s="62">
        <v>45424</v>
      </c>
      <c r="D75" s="61" t="s">
        <v>14</v>
      </c>
      <c r="E75" s="61" t="s">
        <v>43</v>
      </c>
      <c r="F75" s="61"/>
      <c r="G75" s="63">
        <v>2911</v>
      </c>
      <c r="H75" s="63">
        <v>467</v>
      </c>
      <c r="I75" s="63">
        <v>94</v>
      </c>
      <c r="J75" s="63">
        <v>59083</v>
      </c>
      <c r="K75" s="63">
        <v>49762</v>
      </c>
      <c r="L75" s="63">
        <v>236</v>
      </c>
      <c r="M75" s="61" t="s">
        <v>19</v>
      </c>
      <c r="N75" s="61" t="s">
        <v>354</v>
      </c>
      <c r="O75" s="61" t="s">
        <v>20</v>
      </c>
      <c r="P75" s="64">
        <f t="shared" si="2"/>
        <v>5.8764788517847777E-2</v>
      </c>
      <c r="Q75" s="4">
        <f t="shared" si="3"/>
        <v>3472</v>
      </c>
    </row>
    <row r="76" spans="1:17" ht="15.75" customHeight="1" x14ac:dyDescent="0.3">
      <c r="A76" s="55" t="s">
        <v>84</v>
      </c>
      <c r="B76" s="56" t="s">
        <v>28</v>
      </c>
      <c r="C76" s="57">
        <v>45425</v>
      </c>
      <c r="D76" s="56" t="s">
        <v>51</v>
      </c>
      <c r="E76" s="56" t="s">
        <v>18</v>
      </c>
      <c r="F76" s="56"/>
      <c r="G76" s="58">
        <v>4161</v>
      </c>
      <c r="H76" s="58">
        <v>481</v>
      </c>
      <c r="I76" s="58">
        <v>61</v>
      </c>
      <c r="J76" s="58">
        <v>45884</v>
      </c>
      <c r="K76" s="58">
        <v>48955</v>
      </c>
      <c r="L76" s="58">
        <v>215</v>
      </c>
      <c r="M76" s="56" t="s">
        <v>19</v>
      </c>
      <c r="N76" s="56" t="s">
        <v>39</v>
      </c>
      <c r="O76" s="56" t="s">
        <v>52</v>
      </c>
      <c r="P76" s="59">
        <f t="shared" si="2"/>
        <v>0.10249760265016128</v>
      </c>
      <c r="Q76" s="4">
        <f t="shared" si="3"/>
        <v>4703</v>
      </c>
    </row>
    <row r="77" spans="1:17" ht="15.75" customHeight="1" x14ac:dyDescent="0.3">
      <c r="A77" s="60" t="s">
        <v>40</v>
      </c>
      <c r="B77" s="61" t="s">
        <v>13</v>
      </c>
      <c r="C77" s="62">
        <v>45426</v>
      </c>
      <c r="D77" s="61" t="s">
        <v>14</v>
      </c>
      <c r="E77" s="61" t="s">
        <v>15</v>
      </c>
      <c r="F77" s="61"/>
      <c r="G77" s="63">
        <v>1485</v>
      </c>
      <c r="H77" s="63">
        <v>353</v>
      </c>
      <c r="I77" s="63">
        <v>244</v>
      </c>
      <c r="J77" s="63">
        <v>38419</v>
      </c>
      <c r="K77" s="63">
        <v>38556</v>
      </c>
      <c r="L77" s="63">
        <v>86</v>
      </c>
      <c r="M77" s="61" t="s">
        <v>39</v>
      </c>
      <c r="N77" s="61" t="s">
        <v>36</v>
      </c>
      <c r="O77" s="61" t="s">
        <v>16</v>
      </c>
      <c r="P77" s="64">
        <f t="shared" si="2"/>
        <v>5.4191936281527367E-2</v>
      </c>
      <c r="Q77" s="4">
        <f t="shared" si="3"/>
        <v>2082</v>
      </c>
    </row>
    <row r="78" spans="1:17" ht="15.75" customHeight="1" x14ac:dyDescent="0.3">
      <c r="A78" s="60" t="s">
        <v>151</v>
      </c>
      <c r="B78" s="61" t="s">
        <v>22</v>
      </c>
      <c r="C78" s="62">
        <v>45428</v>
      </c>
      <c r="D78" s="61" t="s">
        <v>23</v>
      </c>
      <c r="E78" s="61" t="s">
        <v>29</v>
      </c>
      <c r="F78" s="61"/>
      <c r="G78" s="63">
        <v>2023</v>
      </c>
      <c r="H78" s="63">
        <v>124</v>
      </c>
      <c r="I78" s="63">
        <v>99</v>
      </c>
      <c r="J78" s="63">
        <v>54524</v>
      </c>
      <c r="K78" s="63">
        <v>34790</v>
      </c>
      <c r="L78" s="63">
        <v>195</v>
      </c>
      <c r="M78" s="61" t="s">
        <v>19</v>
      </c>
      <c r="N78" s="61" t="s">
        <v>355</v>
      </c>
      <c r="O78" s="61" t="s">
        <v>16</v>
      </c>
      <c r="P78" s="64">
        <f t="shared" si="2"/>
        <v>4.1192869195216787E-2</v>
      </c>
      <c r="Q78" s="4">
        <f t="shared" si="3"/>
        <v>2246</v>
      </c>
    </row>
    <row r="79" spans="1:17" ht="15.75" customHeight="1" x14ac:dyDescent="0.3">
      <c r="A79" s="55" t="s">
        <v>107</v>
      </c>
      <c r="B79" s="56" t="s">
        <v>22</v>
      </c>
      <c r="C79" s="57">
        <v>45431</v>
      </c>
      <c r="D79" s="56" t="s">
        <v>23</v>
      </c>
      <c r="E79" s="56" t="s">
        <v>32</v>
      </c>
      <c r="F79" s="56"/>
      <c r="G79" s="58">
        <v>1763</v>
      </c>
      <c r="H79" s="58">
        <v>206</v>
      </c>
      <c r="I79" s="58">
        <v>187</v>
      </c>
      <c r="J79" s="58">
        <v>53342</v>
      </c>
      <c r="K79" s="58">
        <v>25095</v>
      </c>
      <c r="L79" s="58">
        <v>88</v>
      </c>
      <c r="M79" s="56" t="s">
        <v>19</v>
      </c>
      <c r="N79" s="56" t="s">
        <v>355</v>
      </c>
      <c r="O79" s="56" t="s">
        <v>16</v>
      </c>
      <c r="P79" s="59">
        <f t="shared" si="2"/>
        <v>4.0418432004799221E-2</v>
      </c>
      <c r="Q79" s="4">
        <f t="shared" si="3"/>
        <v>2156</v>
      </c>
    </row>
    <row r="80" spans="1:17" ht="15.75" customHeight="1" x14ac:dyDescent="0.3">
      <c r="A80" s="60" t="s">
        <v>98</v>
      </c>
      <c r="B80" s="61" t="s">
        <v>28</v>
      </c>
      <c r="C80" s="62">
        <v>45438</v>
      </c>
      <c r="D80" s="61" t="s">
        <v>14</v>
      </c>
      <c r="E80" s="61" t="s">
        <v>43</v>
      </c>
      <c r="F80" s="61"/>
      <c r="G80" s="63">
        <v>1488</v>
      </c>
      <c r="H80" s="63">
        <v>327</v>
      </c>
      <c r="I80" s="63">
        <v>110</v>
      </c>
      <c r="J80" s="63">
        <v>53805</v>
      </c>
      <c r="K80" s="63">
        <v>30239</v>
      </c>
      <c r="L80" s="63">
        <v>109</v>
      </c>
      <c r="M80" s="61" t="s">
        <v>19</v>
      </c>
      <c r="N80" s="61" t="s">
        <v>354</v>
      </c>
      <c r="O80" s="61" t="s">
        <v>20</v>
      </c>
      <c r="P80" s="64">
        <f t="shared" si="2"/>
        <v>3.5777344113000653E-2</v>
      </c>
      <c r="Q80" s="4">
        <f t="shared" si="3"/>
        <v>1925</v>
      </c>
    </row>
    <row r="81" spans="1:17" ht="15.75" customHeight="1" x14ac:dyDescent="0.3">
      <c r="A81" s="55" t="s">
        <v>299</v>
      </c>
      <c r="B81" s="56" t="s">
        <v>13</v>
      </c>
      <c r="C81" s="57">
        <v>45442</v>
      </c>
      <c r="D81" s="56" t="s">
        <v>23</v>
      </c>
      <c r="E81" s="56" t="s">
        <v>32</v>
      </c>
      <c r="F81" s="56"/>
      <c r="G81" s="58">
        <v>2448</v>
      </c>
      <c r="H81" s="58">
        <v>464</v>
      </c>
      <c r="I81" s="58">
        <v>98</v>
      </c>
      <c r="J81" s="58">
        <v>25737</v>
      </c>
      <c r="K81" s="58">
        <v>48545</v>
      </c>
      <c r="L81" s="58">
        <v>246</v>
      </c>
      <c r="M81" s="56" t="s">
        <v>36</v>
      </c>
      <c r="N81" s="56"/>
      <c r="O81" s="56" t="s">
        <v>49</v>
      </c>
      <c r="P81" s="59">
        <f t="shared" si="2"/>
        <v>0.11695224773672146</v>
      </c>
      <c r="Q81" s="4">
        <f t="shared" si="3"/>
        <v>3010</v>
      </c>
    </row>
    <row r="82" spans="1:17" ht="15.75" customHeight="1" x14ac:dyDescent="0.3">
      <c r="A82" s="55" t="s">
        <v>183</v>
      </c>
      <c r="B82" s="56" t="s">
        <v>22</v>
      </c>
      <c r="C82" s="57">
        <v>45442</v>
      </c>
      <c r="D82" s="56" t="s">
        <v>23</v>
      </c>
      <c r="E82" s="56" t="s">
        <v>45</v>
      </c>
      <c r="F82" s="56"/>
      <c r="G82" s="58">
        <v>2311</v>
      </c>
      <c r="H82" s="58">
        <v>207</v>
      </c>
      <c r="I82" s="58">
        <v>363</v>
      </c>
      <c r="J82" s="58">
        <v>30349</v>
      </c>
      <c r="K82" s="58">
        <v>32925</v>
      </c>
      <c r="L82" s="58">
        <v>88</v>
      </c>
      <c r="M82" s="56" t="s">
        <v>355</v>
      </c>
      <c r="N82" s="56" t="s">
        <v>36</v>
      </c>
      <c r="O82" s="56" t="s">
        <v>16</v>
      </c>
      <c r="P82" s="59">
        <f t="shared" si="2"/>
        <v>9.4928992718046723E-2</v>
      </c>
      <c r="Q82" s="4">
        <f t="shared" si="3"/>
        <v>2881</v>
      </c>
    </row>
    <row r="83" spans="1:17" ht="15.75" customHeight="1" x14ac:dyDescent="0.3">
      <c r="A83" s="60" t="s">
        <v>261</v>
      </c>
      <c r="B83" s="61" t="s">
        <v>28</v>
      </c>
      <c r="C83" s="62">
        <v>45442</v>
      </c>
      <c r="D83" s="61" t="s">
        <v>51</v>
      </c>
      <c r="E83" s="61" t="s">
        <v>360</v>
      </c>
      <c r="F83" s="61" t="s">
        <v>361</v>
      </c>
      <c r="G83" s="63">
        <v>1060</v>
      </c>
      <c r="H83" s="63">
        <v>442</v>
      </c>
      <c r="I83" s="63">
        <v>319</v>
      </c>
      <c r="J83" s="63">
        <v>57194</v>
      </c>
      <c r="K83" s="63">
        <v>24258</v>
      </c>
      <c r="L83" s="63">
        <v>101</v>
      </c>
      <c r="M83" s="61" t="s">
        <v>19</v>
      </c>
      <c r="N83" s="61" t="s">
        <v>39</v>
      </c>
      <c r="O83" s="61" t="s">
        <v>52</v>
      </c>
      <c r="P83" s="64">
        <f t="shared" si="2"/>
        <v>3.1839004091338254E-2</v>
      </c>
      <c r="Q83" s="4">
        <f t="shared" si="3"/>
        <v>1821</v>
      </c>
    </row>
    <row r="84" spans="1:17" ht="15.75" customHeight="1" x14ac:dyDescent="0.3">
      <c r="A84" s="55" t="s">
        <v>206</v>
      </c>
      <c r="B84" s="56" t="s">
        <v>13</v>
      </c>
      <c r="C84" s="57">
        <v>45447</v>
      </c>
      <c r="D84" s="56" t="s">
        <v>14</v>
      </c>
      <c r="E84" s="56" t="s">
        <v>32</v>
      </c>
      <c r="F84" s="56"/>
      <c r="G84" s="58">
        <v>3948</v>
      </c>
      <c r="H84" s="58">
        <v>151</v>
      </c>
      <c r="I84" s="58">
        <v>249</v>
      </c>
      <c r="J84" s="58">
        <v>43147</v>
      </c>
      <c r="K84" s="58">
        <v>63136</v>
      </c>
      <c r="L84" s="58">
        <v>230</v>
      </c>
      <c r="M84" s="56" t="s">
        <v>19</v>
      </c>
      <c r="N84" s="56"/>
      <c r="O84" s="56" t="s">
        <v>20</v>
      </c>
      <c r="P84" s="59">
        <f t="shared" si="2"/>
        <v>0.10077178019329269</v>
      </c>
      <c r="Q84" s="4">
        <f t="shared" si="3"/>
        <v>4348</v>
      </c>
    </row>
    <row r="85" spans="1:17" ht="15.75" customHeight="1" x14ac:dyDescent="0.3">
      <c r="A85" s="60" t="s">
        <v>226</v>
      </c>
      <c r="B85" s="61" t="s">
        <v>28</v>
      </c>
      <c r="C85" s="62">
        <v>45447</v>
      </c>
      <c r="D85" s="61" t="s">
        <v>51</v>
      </c>
      <c r="E85" s="61" t="s">
        <v>26</v>
      </c>
      <c r="F85" s="61"/>
      <c r="G85" s="63">
        <v>1211</v>
      </c>
      <c r="H85" s="63">
        <v>431</v>
      </c>
      <c r="I85" s="63">
        <v>83</v>
      </c>
      <c r="J85" s="63">
        <v>26532</v>
      </c>
      <c r="K85" s="63">
        <v>47305</v>
      </c>
      <c r="L85" s="63">
        <v>232</v>
      </c>
      <c r="M85" s="61" t="s">
        <v>19</v>
      </c>
      <c r="N85" s="61" t="s">
        <v>39</v>
      </c>
      <c r="O85" s="61" t="s">
        <v>52</v>
      </c>
      <c r="P85" s="64">
        <f t="shared" si="2"/>
        <v>6.5015829941203071E-2</v>
      </c>
      <c r="Q85" s="4">
        <f t="shared" si="3"/>
        <v>1725</v>
      </c>
    </row>
    <row r="86" spans="1:17" ht="15.75" customHeight="1" x14ac:dyDescent="0.3">
      <c r="A86" s="60" t="s">
        <v>290</v>
      </c>
      <c r="B86" s="61" t="s">
        <v>22</v>
      </c>
      <c r="C86" s="62">
        <v>45451</v>
      </c>
      <c r="D86" s="61" t="s">
        <v>23</v>
      </c>
      <c r="E86" s="61" t="s">
        <v>35</v>
      </c>
      <c r="F86" s="61"/>
      <c r="G86" s="63">
        <v>3413</v>
      </c>
      <c r="H86" s="63">
        <v>326</v>
      </c>
      <c r="I86" s="63">
        <v>86</v>
      </c>
      <c r="J86" s="63">
        <v>44680</v>
      </c>
      <c r="K86" s="63">
        <v>52719</v>
      </c>
      <c r="L86" s="63">
        <v>272</v>
      </c>
      <c r="M86" s="61" t="s">
        <v>19</v>
      </c>
      <c r="N86" s="61" t="s">
        <v>355</v>
      </c>
      <c r="O86" s="61" t="s">
        <v>16</v>
      </c>
      <c r="P86" s="64">
        <f t="shared" si="2"/>
        <v>8.5608773500447627E-2</v>
      </c>
      <c r="Q86" s="4">
        <f t="shared" si="3"/>
        <v>3825</v>
      </c>
    </row>
    <row r="87" spans="1:17" ht="15.75" customHeight="1" x14ac:dyDescent="0.3">
      <c r="A87" s="55" t="s">
        <v>56</v>
      </c>
      <c r="B87" s="56" t="s">
        <v>28</v>
      </c>
      <c r="C87" s="57">
        <v>45452</v>
      </c>
      <c r="D87" s="56" t="s">
        <v>51</v>
      </c>
      <c r="E87" s="56" t="s">
        <v>43</v>
      </c>
      <c r="F87" s="56"/>
      <c r="G87" s="58">
        <v>2786</v>
      </c>
      <c r="H87" s="58">
        <v>368</v>
      </c>
      <c r="I87" s="58">
        <v>208</v>
      </c>
      <c r="J87" s="58">
        <v>42000</v>
      </c>
      <c r="K87" s="58">
        <v>39967</v>
      </c>
      <c r="L87" s="58">
        <v>103</v>
      </c>
      <c r="M87" s="56" t="s">
        <v>19</v>
      </c>
      <c r="N87" s="56" t="s">
        <v>39</v>
      </c>
      <c r="O87" s="56" t="s">
        <v>52</v>
      </c>
      <c r="P87" s="59">
        <f t="shared" si="2"/>
        <v>8.0047619047619048E-2</v>
      </c>
      <c r="Q87" s="4">
        <f t="shared" si="3"/>
        <v>3362</v>
      </c>
    </row>
    <row r="88" spans="1:17" ht="15.75" customHeight="1" x14ac:dyDescent="0.3">
      <c r="A88" s="60" t="s">
        <v>47</v>
      </c>
      <c r="B88" s="61" t="s">
        <v>22</v>
      </c>
      <c r="C88" s="62">
        <v>45453</v>
      </c>
      <c r="D88" s="61" t="s">
        <v>14</v>
      </c>
      <c r="E88" s="61" t="s">
        <v>360</v>
      </c>
      <c r="F88" s="61" t="s">
        <v>361</v>
      </c>
      <c r="G88" s="63">
        <v>1514</v>
      </c>
      <c r="H88" s="63">
        <v>164</v>
      </c>
      <c r="I88" s="63">
        <v>275</v>
      </c>
      <c r="J88" s="63">
        <v>41364</v>
      </c>
      <c r="K88" s="63">
        <v>44389</v>
      </c>
      <c r="L88" s="63">
        <v>83</v>
      </c>
      <c r="M88" s="61" t="s">
        <v>36</v>
      </c>
      <c r="N88" s="61"/>
      <c r="O88" s="61" t="s">
        <v>16</v>
      </c>
      <c r="P88" s="64">
        <f t="shared" si="2"/>
        <v>4.7214969538729328E-2</v>
      </c>
      <c r="Q88" s="4">
        <f t="shared" si="3"/>
        <v>1953</v>
      </c>
    </row>
    <row r="89" spans="1:17" ht="15.75" customHeight="1" x14ac:dyDescent="0.3">
      <c r="A89" s="55" t="s">
        <v>30</v>
      </c>
      <c r="B89" s="56" t="s">
        <v>28</v>
      </c>
      <c r="C89" s="57">
        <v>45456</v>
      </c>
      <c r="D89" s="56" t="s">
        <v>14</v>
      </c>
      <c r="E89" s="56" t="s">
        <v>360</v>
      </c>
      <c r="F89" s="56" t="s">
        <v>361</v>
      </c>
      <c r="G89" s="58">
        <v>3882</v>
      </c>
      <c r="H89" s="58">
        <v>239</v>
      </c>
      <c r="I89" s="58">
        <v>275</v>
      </c>
      <c r="J89" s="58">
        <v>58748</v>
      </c>
      <c r="K89" s="58">
        <v>44646</v>
      </c>
      <c r="L89" s="58">
        <v>149</v>
      </c>
      <c r="M89" s="56" t="s">
        <v>19</v>
      </c>
      <c r="N89" s="56" t="s">
        <v>354</v>
      </c>
      <c r="O89" s="56" t="s">
        <v>20</v>
      </c>
      <c r="P89" s="59">
        <f t="shared" si="2"/>
        <v>7.4828079253761837E-2</v>
      </c>
      <c r="Q89" s="4">
        <f t="shared" si="3"/>
        <v>4396</v>
      </c>
    </row>
    <row r="90" spans="1:17" ht="15.75" customHeight="1" x14ac:dyDescent="0.3">
      <c r="A90" s="55" t="s">
        <v>281</v>
      </c>
      <c r="B90" s="56" t="s">
        <v>28</v>
      </c>
      <c r="C90" s="57">
        <v>45457</v>
      </c>
      <c r="D90" s="56" t="s">
        <v>51</v>
      </c>
      <c r="E90" s="56" t="s">
        <v>26</v>
      </c>
      <c r="F90" s="56"/>
      <c r="G90" s="58">
        <v>4722</v>
      </c>
      <c r="H90" s="58">
        <v>310</v>
      </c>
      <c r="I90" s="58">
        <v>344</v>
      </c>
      <c r="J90" s="58">
        <v>27911</v>
      </c>
      <c r="K90" s="58">
        <v>19000</v>
      </c>
      <c r="L90" s="58">
        <v>225</v>
      </c>
      <c r="M90" s="56" t="s">
        <v>19</v>
      </c>
      <c r="N90" s="56" t="s">
        <v>39</v>
      </c>
      <c r="O90" s="56" t="s">
        <v>52</v>
      </c>
      <c r="P90" s="59">
        <f t="shared" si="2"/>
        <v>0.19261223173659131</v>
      </c>
      <c r="Q90" s="4">
        <f t="shared" si="3"/>
        <v>5376</v>
      </c>
    </row>
    <row r="91" spans="1:17" ht="15.75" customHeight="1" x14ac:dyDescent="0.3">
      <c r="A91" s="60" t="s">
        <v>50</v>
      </c>
      <c r="B91" s="61" t="s">
        <v>28</v>
      </c>
      <c r="C91" s="62">
        <v>45458</v>
      </c>
      <c r="D91" s="61" t="s">
        <v>51</v>
      </c>
      <c r="E91" s="61" t="s">
        <v>32</v>
      </c>
      <c r="F91" s="61"/>
      <c r="G91" s="63">
        <v>1751</v>
      </c>
      <c r="H91" s="63">
        <v>143</v>
      </c>
      <c r="I91" s="63">
        <v>151</v>
      </c>
      <c r="J91" s="63">
        <v>31826</v>
      </c>
      <c r="K91" s="63">
        <v>47729</v>
      </c>
      <c r="L91" s="63">
        <v>95</v>
      </c>
      <c r="M91" s="61" t="s">
        <v>19</v>
      </c>
      <c r="N91" s="61" t="s">
        <v>39</v>
      </c>
      <c r="O91" s="61" t="s">
        <v>52</v>
      </c>
      <c r="P91" s="64">
        <f t="shared" si="2"/>
        <v>6.4255640042732362E-2</v>
      </c>
      <c r="Q91" s="4">
        <f t="shared" si="3"/>
        <v>2045</v>
      </c>
    </row>
    <row r="92" spans="1:17" ht="15.75" customHeight="1" x14ac:dyDescent="0.3">
      <c r="A92" s="60" t="s">
        <v>219</v>
      </c>
      <c r="B92" s="61" t="s">
        <v>22</v>
      </c>
      <c r="C92" s="62">
        <v>45459</v>
      </c>
      <c r="D92" s="61" t="s">
        <v>23</v>
      </c>
      <c r="E92" s="61" t="s">
        <v>18</v>
      </c>
      <c r="F92" s="61"/>
      <c r="G92" s="63">
        <v>4618</v>
      </c>
      <c r="H92" s="63">
        <v>312</v>
      </c>
      <c r="I92" s="63">
        <v>254</v>
      </c>
      <c r="J92" s="63">
        <v>22571</v>
      </c>
      <c r="K92" s="63">
        <v>29453</v>
      </c>
      <c r="L92" s="63">
        <v>197</v>
      </c>
      <c r="M92" s="61" t="s">
        <v>355</v>
      </c>
      <c r="N92" s="61" t="s">
        <v>36</v>
      </c>
      <c r="O92" s="61" t="s">
        <v>16</v>
      </c>
      <c r="P92" s="64">
        <f t="shared" si="2"/>
        <v>0.22967524699836073</v>
      </c>
      <c r="Q92" s="4">
        <f t="shared" si="3"/>
        <v>5184</v>
      </c>
    </row>
    <row r="93" spans="1:17" ht="15.75" customHeight="1" x14ac:dyDescent="0.3">
      <c r="A93" s="60" t="s">
        <v>176</v>
      </c>
      <c r="B93" s="61" t="s">
        <v>13</v>
      </c>
      <c r="C93" s="62">
        <v>45460</v>
      </c>
      <c r="D93" s="61" t="s">
        <v>14</v>
      </c>
      <c r="E93" s="61" t="s">
        <v>15</v>
      </c>
      <c r="F93" s="61"/>
      <c r="G93" s="63">
        <v>4283</v>
      </c>
      <c r="H93" s="63">
        <v>471</v>
      </c>
      <c r="I93" s="63">
        <v>156</v>
      </c>
      <c r="J93" s="63">
        <v>53004</v>
      </c>
      <c r="K93" s="63">
        <v>25678</v>
      </c>
      <c r="L93" s="63">
        <v>105</v>
      </c>
      <c r="M93" s="61" t="s">
        <v>19</v>
      </c>
      <c r="N93" s="61"/>
      <c r="O93" s="61" t="s">
        <v>20</v>
      </c>
      <c r="P93" s="64">
        <f t="shared" si="2"/>
        <v>9.2634518149573616E-2</v>
      </c>
      <c r="Q93" s="4">
        <f t="shared" si="3"/>
        <v>4910</v>
      </c>
    </row>
    <row r="94" spans="1:17" ht="15.75" customHeight="1" x14ac:dyDescent="0.3">
      <c r="A94" s="60" t="s">
        <v>256</v>
      </c>
      <c r="B94" s="61" t="s">
        <v>22</v>
      </c>
      <c r="C94" s="62">
        <v>45462</v>
      </c>
      <c r="D94" s="61" t="s">
        <v>14</v>
      </c>
      <c r="E94" s="61" t="s">
        <v>360</v>
      </c>
      <c r="F94" s="61" t="s">
        <v>361</v>
      </c>
      <c r="G94" s="63">
        <v>1224</v>
      </c>
      <c r="H94" s="63">
        <v>168</v>
      </c>
      <c r="I94" s="63">
        <v>199</v>
      </c>
      <c r="J94" s="63">
        <v>54232</v>
      </c>
      <c r="K94" s="63">
        <v>52844</v>
      </c>
      <c r="L94" s="63">
        <v>271</v>
      </c>
      <c r="M94" s="61" t="s">
        <v>39</v>
      </c>
      <c r="N94" s="61"/>
      <c r="O94" s="61" t="s">
        <v>20</v>
      </c>
      <c r="P94" s="64">
        <f t="shared" si="2"/>
        <v>2.9336922849977874E-2</v>
      </c>
      <c r="Q94" s="4">
        <f t="shared" si="3"/>
        <v>1591</v>
      </c>
    </row>
    <row r="95" spans="1:17" ht="15.75" customHeight="1" x14ac:dyDescent="0.3">
      <c r="A95" s="60" t="s">
        <v>302</v>
      </c>
      <c r="B95" s="61" t="s">
        <v>28</v>
      </c>
      <c r="C95" s="62">
        <v>45464</v>
      </c>
      <c r="D95" s="61" t="s">
        <v>51</v>
      </c>
      <c r="E95" s="61" t="s">
        <v>29</v>
      </c>
      <c r="F95" s="61"/>
      <c r="G95" s="63">
        <v>4621</v>
      </c>
      <c r="H95" s="63">
        <v>374</v>
      </c>
      <c r="I95" s="63">
        <v>298</v>
      </c>
      <c r="J95" s="63">
        <v>56979</v>
      </c>
      <c r="K95" s="63">
        <v>24098</v>
      </c>
      <c r="L95" s="63">
        <v>205</v>
      </c>
      <c r="M95" s="61" t="s">
        <v>19</v>
      </c>
      <c r="N95" s="61" t="s">
        <v>39</v>
      </c>
      <c r="O95" s="61" t="s">
        <v>52</v>
      </c>
      <c r="P95" s="64">
        <f t="shared" si="2"/>
        <v>9.2893873181347508E-2</v>
      </c>
      <c r="Q95" s="4">
        <f t="shared" si="3"/>
        <v>5293</v>
      </c>
    </row>
    <row r="96" spans="1:17" ht="15.75" customHeight="1" x14ac:dyDescent="0.3">
      <c r="A96" s="55" t="s">
        <v>320</v>
      </c>
      <c r="B96" s="56" t="s">
        <v>28</v>
      </c>
      <c r="C96" s="57">
        <v>45468</v>
      </c>
      <c r="D96" s="56" t="s">
        <v>14</v>
      </c>
      <c r="E96" s="56" t="s">
        <v>45</v>
      </c>
      <c r="F96" s="56"/>
      <c r="G96" s="58">
        <v>2172</v>
      </c>
      <c r="H96" s="58">
        <v>338</v>
      </c>
      <c r="I96" s="58">
        <v>70</v>
      </c>
      <c r="J96" s="58">
        <v>30515</v>
      </c>
      <c r="K96" s="58">
        <v>57853</v>
      </c>
      <c r="L96" s="58">
        <v>156</v>
      </c>
      <c r="M96" s="56" t="s">
        <v>19</v>
      </c>
      <c r="N96" s="56" t="s">
        <v>354</v>
      </c>
      <c r="O96" s="56" t="s">
        <v>20</v>
      </c>
      <c r="P96" s="59">
        <f t="shared" si="2"/>
        <v>8.4548582664263475E-2</v>
      </c>
      <c r="Q96" s="4">
        <f t="shared" si="3"/>
        <v>2580</v>
      </c>
    </row>
    <row r="97" spans="1:17" ht="15.75" customHeight="1" x14ac:dyDescent="0.3">
      <c r="A97" s="60" t="s">
        <v>143</v>
      </c>
      <c r="B97" s="61" t="s">
        <v>13</v>
      </c>
      <c r="C97" s="62">
        <v>45469</v>
      </c>
      <c r="D97" s="61" t="s">
        <v>14</v>
      </c>
      <c r="E97" s="61" t="s">
        <v>24</v>
      </c>
      <c r="F97" s="61"/>
      <c r="G97" s="63">
        <v>3253</v>
      </c>
      <c r="H97" s="63">
        <v>483</v>
      </c>
      <c r="I97" s="63">
        <v>336</v>
      </c>
      <c r="J97" s="63">
        <v>25397</v>
      </c>
      <c r="K97" s="63">
        <v>51485</v>
      </c>
      <c r="L97" s="63">
        <v>131</v>
      </c>
      <c r="M97" s="61" t="s">
        <v>19</v>
      </c>
      <c r="N97" s="61"/>
      <c r="O97" s="61" t="s">
        <v>20</v>
      </c>
      <c r="P97" s="64">
        <f t="shared" si="2"/>
        <v>0.16033389770445328</v>
      </c>
      <c r="Q97" s="4">
        <f t="shared" si="3"/>
        <v>4072</v>
      </c>
    </row>
    <row r="98" spans="1:17" ht="15.75" customHeight="1" x14ac:dyDescent="0.3">
      <c r="A98" s="60" t="s">
        <v>324</v>
      </c>
      <c r="B98" s="61" t="s">
        <v>13</v>
      </c>
      <c r="C98" s="62">
        <v>45472</v>
      </c>
      <c r="D98" s="61" t="s">
        <v>14</v>
      </c>
      <c r="E98" s="61" t="s">
        <v>45</v>
      </c>
      <c r="F98" s="61"/>
      <c r="G98" s="63">
        <v>2088</v>
      </c>
      <c r="H98" s="63">
        <v>490</v>
      </c>
      <c r="I98" s="63">
        <v>124</v>
      </c>
      <c r="J98" s="63">
        <v>46544</v>
      </c>
      <c r="K98" s="63">
        <v>69346</v>
      </c>
      <c r="L98" s="63">
        <v>178</v>
      </c>
      <c r="M98" s="61" t="s">
        <v>39</v>
      </c>
      <c r="N98" s="61" t="s">
        <v>36</v>
      </c>
      <c r="O98" s="61" t="s">
        <v>16</v>
      </c>
      <c r="P98" s="64">
        <f t="shared" si="2"/>
        <v>5.8052595393606049E-2</v>
      </c>
      <c r="Q98" s="4">
        <f t="shared" si="3"/>
        <v>2702</v>
      </c>
    </row>
    <row r="99" spans="1:17" ht="15.75" customHeight="1" x14ac:dyDescent="0.3">
      <c r="A99" s="60" t="s">
        <v>209</v>
      </c>
      <c r="B99" s="61" t="s">
        <v>13</v>
      </c>
      <c r="C99" s="62">
        <v>45475</v>
      </c>
      <c r="D99" s="61" t="s">
        <v>14</v>
      </c>
      <c r="E99" s="61" t="s">
        <v>35</v>
      </c>
      <c r="F99" s="61"/>
      <c r="G99" s="63">
        <v>3469</v>
      </c>
      <c r="H99" s="63">
        <v>371</v>
      </c>
      <c r="I99" s="63">
        <v>76</v>
      </c>
      <c r="J99" s="63">
        <v>46493</v>
      </c>
      <c r="K99" s="63">
        <v>26906</v>
      </c>
      <c r="L99" s="63">
        <v>150</v>
      </c>
      <c r="M99" s="61" t="s">
        <v>39</v>
      </c>
      <c r="N99" s="61" t="s">
        <v>36</v>
      </c>
      <c r="O99" s="61" t="s">
        <v>16</v>
      </c>
      <c r="P99" s="64">
        <f t="shared" si="2"/>
        <v>8.4227733207149463E-2</v>
      </c>
      <c r="Q99" s="4">
        <f t="shared" si="3"/>
        <v>3916</v>
      </c>
    </row>
    <row r="100" spans="1:17" ht="15.75" customHeight="1" x14ac:dyDescent="0.3">
      <c r="A100" s="60" t="s">
        <v>53</v>
      </c>
      <c r="B100" s="61" t="s">
        <v>13</v>
      </c>
      <c r="C100" s="62">
        <v>45478</v>
      </c>
      <c r="D100" s="61" t="s">
        <v>14</v>
      </c>
      <c r="E100" s="61" t="s">
        <v>45</v>
      </c>
      <c r="F100" s="61"/>
      <c r="G100" s="63">
        <v>3753</v>
      </c>
      <c r="H100" s="63">
        <v>411</v>
      </c>
      <c r="I100" s="63">
        <v>308</v>
      </c>
      <c r="J100" s="63">
        <v>29138</v>
      </c>
      <c r="K100" s="63">
        <v>27678</v>
      </c>
      <c r="L100" s="63">
        <v>90</v>
      </c>
      <c r="M100" s="61" t="s">
        <v>19</v>
      </c>
      <c r="N100" s="61"/>
      <c r="O100" s="61" t="s">
        <v>20</v>
      </c>
      <c r="P100" s="64">
        <f t="shared" si="2"/>
        <v>0.15347655981879332</v>
      </c>
      <c r="Q100" s="4">
        <f t="shared" si="3"/>
        <v>4472</v>
      </c>
    </row>
    <row r="101" spans="1:17" ht="15.75" customHeight="1" x14ac:dyDescent="0.3">
      <c r="A101" s="60" t="s">
        <v>284</v>
      </c>
      <c r="B101" s="61" t="s">
        <v>22</v>
      </c>
      <c r="C101" s="62">
        <v>45480</v>
      </c>
      <c r="D101" s="61" t="s">
        <v>14</v>
      </c>
      <c r="E101" s="61" t="s">
        <v>360</v>
      </c>
      <c r="F101" s="61" t="s">
        <v>361</v>
      </c>
      <c r="G101" s="63">
        <v>1848</v>
      </c>
      <c r="H101" s="63">
        <v>417</v>
      </c>
      <c r="I101" s="63">
        <v>294</v>
      </c>
      <c r="J101" s="63">
        <v>57819</v>
      </c>
      <c r="K101" s="63">
        <v>19798</v>
      </c>
      <c r="L101" s="63">
        <v>262</v>
      </c>
      <c r="M101" s="61" t="s">
        <v>39</v>
      </c>
      <c r="N101" s="61"/>
      <c r="O101" s="61" t="s">
        <v>20</v>
      </c>
      <c r="P101" s="64">
        <f t="shared" si="2"/>
        <v>4.4258807658382193E-2</v>
      </c>
      <c r="Q101" s="4">
        <f t="shared" si="3"/>
        <v>2559</v>
      </c>
    </row>
    <row r="102" spans="1:17" ht="15.75" customHeight="1" x14ac:dyDescent="0.3">
      <c r="A102" s="55" t="s">
        <v>96</v>
      </c>
      <c r="B102" s="56" t="s">
        <v>22</v>
      </c>
      <c r="C102" s="57">
        <v>45480</v>
      </c>
      <c r="D102" s="56" t="s">
        <v>14</v>
      </c>
      <c r="E102" s="56" t="s">
        <v>24</v>
      </c>
      <c r="F102" s="56"/>
      <c r="G102" s="58">
        <v>1035</v>
      </c>
      <c r="H102" s="58">
        <v>137</v>
      </c>
      <c r="I102" s="58">
        <v>184</v>
      </c>
      <c r="J102" s="58">
        <v>37302</v>
      </c>
      <c r="K102" s="58">
        <v>68953</v>
      </c>
      <c r="L102" s="58">
        <v>237</v>
      </c>
      <c r="M102" s="56" t="s">
        <v>39</v>
      </c>
      <c r="N102" s="56"/>
      <c r="O102" s="56" t="s">
        <v>20</v>
      </c>
      <c r="P102" s="59">
        <f t="shared" si="2"/>
        <v>3.6351938233874857E-2</v>
      </c>
      <c r="Q102" s="4">
        <f t="shared" si="3"/>
        <v>1356</v>
      </c>
    </row>
    <row r="103" spans="1:17" ht="15.75" customHeight="1" x14ac:dyDescent="0.3">
      <c r="A103" s="55" t="s">
        <v>279</v>
      </c>
      <c r="B103" s="56" t="s">
        <v>22</v>
      </c>
      <c r="C103" s="57">
        <v>45481</v>
      </c>
      <c r="D103" s="56" t="s">
        <v>23</v>
      </c>
      <c r="E103" s="56" t="s">
        <v>35</v>
      </c>
      <c r="F103" s="56"/>
      <c r="G103" s="58">
        <v>2981</v>
      </c>
      <c r="H103" s="58">
        <v>258</v>
      </c>
      <c r="I103" s="58">
        <v>168</v>
      </c>
      <c r="J103" s="58">
        <v>20677</v>
      </c>
      <c r="K103" s="58">
        <v>68290</v>
      </c>
      <c r="L103" s="58">
        <v>130</v>
      </c>
      <c r="M103" s="56" t="s">
        <v>39</v>
      </c>
      <c r="N103" s="56" t="s">
        <v>36</v>
      </c>
      <c r="O103" s="56" t="s">
        <v>16</v>
      </c>
      <c r="P103" s="59">
        <f t="shared" si="2"/>
        <v>0.16477245248343569</v>
      </c>
      <c r="Q103" s="4">
        <f t="shared" si="3"/>
        <v>3407</v>
      </c>
    </row>
    <row r="104" spans="1:17" ht="15.75" customHeight="1" x14ac:dyDescent="0.3">
      <c r="A104" s="55" t="s">
        <v>289</v>
      </c>
      <c r="B104" s="56" t="s">
        <v>22</v>
      </c>
      <c r="C104" s="57">
        <v>45481</v>
      </c>
      <c r="D104" s="56" t="s">
        <v>23</v>
      </c>
      <c r="E104" s="56" t="s">
        <v>26</v>
      </c>
      <c r="F104" s="56"/>
      <c r="G104" s="58">
        <v>2304</v>
      </c>
      <c r="H104" s="58">
        <v>289</v>
      </c>
      <c r="I104" s="58">
        <v>161</v>
      </c>
      <c r="J104" s="58">
        <v>52645</v>
      </c>
      <c r="K104" s="58">
        <v>66262</v>
      </c>
      <c r="L104" s="58">
        <v>146</v>
      </c>
      <c r="M104" s="56" t="s">
        <v>355</v>
      </c>
      <c r="N104" s="56" t="s">
        <v>36</v>
      </c>
      <c r="O104" s="56" t="s">
        <v>16</v>
      </c>
      <c r="P104" s="59">
        <f t="shared" si="2"/>
        <v>5.2312660271630736E-2</v>
      </c>
      <c r="Q104" s="4">
        <f t="shared" si="3"/>
        <v>2754</v>
      </c>
    </row>
    <row r="105" spans="1:17" ht="15.75" customHeight="1" x14ac:dyDescent="0.3">
      <c r="A105" s="60" t="s">
        <v>232</v>
      </c>
      <c r="B105" s="61" t="s">
        <v>22</v>
      </c>
      <c r="C105" s="62">
        <v>45484</v>
      </c>
      <c r="D105" s="61" t="s">
        <v>23</v>
      </c>
      <c r="E105" s="61" t="s">
        <v>32</v>
      </c>
      <c r="F105" s="61"/>
      <c r="G105" s="63">
        <v>4247</v>
      </c>
      <c r="H105" s="63">
        <v>179</v>
      </c>
      <c r="I105" s="63">
        <v>175</v>
      </c>
      <c r="J105" s="63">
        <v>32991</v>
      </c>
      <c r="K105" s="63">
        <v>70120</v>
      </c>
      <c r="L105" s="63">
        <v>276</v>
      </c>
      <c r="M105" s="61" t="s">
        <v>39</v>
      </c>
      <c r="N105" s="61" t="s">
        <v>36</v>
      </c>
      <c r="O105" s="61" t="s">
        <v>16</v>
      </c>
      <c r="P105" s="64">
        <f t="shared" si="2"/>
        <v>0.13946227759085811</v>
      </c>
      <c r="Q105" s="4">
        <f t="shared" si="3"/>
        <v>4601</v>
      </c>
    </row>
    <row r="106" spans="1:17" ht="15.75" customHeight="1" x14ac:dyDescent="0.3">
      <c r="A106" s="60" t="s">
        <v>217</v>
      </c>
      <c r="B106" s="61" t="s">
        <v>22</v>
      </c>
      <c r="C106" s="62">
        <v>45486</v>
      </c>
      <c r="D106" s="61" t="s">
        <v>23</v>
      </c>
      <c r="E106" s="61" t="s">
        <v>32</v>
      </c>
      <c r="F106" s="61"/>
      <c r="G106" s="63">
        <v>2408</v>
      </c>
      <c r="H106" s="63">
        <v>323</v>
      </c>
      <c r="I106" s="63">
        <v>251</v>
      </c>
      <c r="J106" s="63">
        <v>47599</v>
      </c>
      <c r="K106" s="63">
        <v>35543</v>
      </c>
      <c r="L106" s="63">
        <v>287</v>
      </c>
      <c r="M106" s="61" t="s">
        <v>355</v>
      </c>
      <c r="N106" s="61" t="s">
        <v>36</v>
      </c>
      <c r="O106" s="61" t="s">
        <v>16</v>
      </c>
      <c r="P106" s="64">
        <f t="shared" si="2"/>
        <v>6.2648374965860634E-2</v>
      </c>
      <c r="Q106" s="4">
        <f t="shared" si="3"/>
        <v>2982</v>
      </c>
    </row>
    <row r="107" spans="1:17" ht="15.75" customHeight="1" x14ac:dyDescent="0.3">
      <c r="A107" s="55" t="s">
        <v>78</v>
      </c>
      <c r="B107" s="56" t="s">
        <v>28</v>
      </c>
      <c r="C107" s="57">
        <v>45487</v>
      </c>
      <c r="D107" s="56" t="s">
        <v>14</v>
      </c>
      <c r="E107" s="56" t="s">
        <v>45</v>
      </c>
      <c r="F107" s="56"/>
      <c r="G107" s="58">
        <v>3806</v>
      </c>
      <c r="H107" s="58">
        <v>114</v>
      </c>
      <c r="I107" s="58">
        <v>278</v>
      </c>
      <c r="J107" s="58">
        <v>36148</v>
      </c>
      <c r="K107" s="58">
        <v>24209</v>
      </c>
      <c r="L107" s="58">
        <v>201</v>
      </c>
      <c r="M107" s="56" t="s">
        <v>19</v>
      </c>
      <c r="N107" s="56" t="s">
        <v>354</v>
      </c>
      <c r="O107" s="56" t="s">
        <v>20</v>
      </c>
      <c r="P107" s="59">
        <f t="shared" si="2"/>
        <v>0.11613367267898639</v>
      </c>
      <c r="Q107" s="4">
        <f t="shared" si="3"/>
        <v>4198</v>
      </c>
    </row>
    <row r="108" spans="1:17" ht="15.75" customHeight="1" x14ac:dyDescent="0.3">
      <c r="A108" s="55" t="s">
        <v>109</v>
      </c>
      <c r="B108" s="56" t="s">
        <v>13</v>
      </c>
      <c r="C108" s="57">
        <v>45487</v>
      </c>
      <c r="D108" s="56" t="s">
        <v>14</v>
      </c>
      <c r="E108" s="56" t="s">
        <v>26</v>
      </c>
      <c r="F108" s="56"/>
      <c r="G108" s="58">
        <v>2464</v>
      </c>
      <c r="H108" s="58">
        <v>401</v>
      </c>
      <c r="I108" s="58">
        <v>78</v>
      </c>
      <c r="J108" s="58">
        <v>38665</v>
      </c>
      <c r="K108" s="58">
        <v>73593</v>
      </c>
      <c r="L108" s="58">
        <v>207</v>
      </c>
      <c r="M108" s="56" t="s">
        <v>19</v>
      </c>
      <c r="N108" s="56"/>
      <c r="O108" s="56" t="s">
        <v>20</v>
      </c>
      <c r="P108" s="59">
        <f t="shared" si="2"/>
        <v>7.611534979956032E-2</v>
      </c>
      <c r="Q108" s="4">
        <f t="shared" si="3"/>
        <v>2943</v>
      </c>
    </row>
    <row r="109" spans="1:17" ht="15.75" customHeight="1" x14ac:dyDescent="0.3">
      <c r="A109" s="60" t="s">
        <v>147</v>
      </c>
      <c r="B109" s="61" t="s">
        <v>22</v>
      </c>
      <c r="C109" s="62">
        <v>45489</v>
      </c>
      <c r="D109" s="61" t="s">
        <v>14</v>
      </c>
      <c r="E109" s="61" t="s">
        <v>35</v>
      </c>
      <c r="F109" s="61"/>
      <c r="G109" s="63">
        <v>1803</v>
      </c>
      <c r="H109" s="63">
        <v>273</v>
      </c>
      <c r="I109" s="63">
        <v>287</v>
      </c>
      <c r="J109" s="63">
        <v>46176</v>
      </c>
      <c r="K109" s="63">
        <v>25488</v>
      </c>
      <c r="L109" s="63">
        <v>141</v>
      </c>
      <c r="M109" s="61" t="s">
        <v>36</v>
      </c>
      <c r="N109" s="61"/>
      <c r="O109" s="61" t="s">
        <v>16</v>
      </c>
      <c r="P109" s="64">
        <f t="shared" si="2"/>
        <v>5.1173769923769923E-2</v>
      </c>
      <c r="Q109" s="4">
        <f t="shared" si="3"/>
        <v>2363</v>
      </c>
    </row>
    <row r="110" spans="1:17" ht="15.75" customHeight="1" x14ac:dyDescent="0.3">
      <c r="A110" s="60" t="s">
        <v>91</v>
      </c>
      <c r="B110" s="61" t="s">
        <v>28</v>
      </c>
      <c r="C110" s="62">
        <v>45490</v>
      </c>
      <c r="D110" s="61" t="s">
        <v>14</v>
      </c>
      <c r="E110" s="61" t="s">
        <v>35</v>
      </c>
      <c r="F110" s="61"/>
      <c r="G110" s="63">
        <v>3135</v>
      </c>
      <c r="H110" s="63">
        <v>110</v>
      </c>
      <c r="I110" s="63">
        <v>215</v>
      </c>
      <c r="J110" s="63">
        <v>39192</v>
      </c>
      <c r="K110" s="63">
        <v>24744</v>
      </c>
      <c r="L110" s="63">
        <v>177</v>
      </c>
      <c r="M110" s="61" t="s">
        <v>19</v>
      </c>
      <c r="N110" s="61" t="s">
        <v>354</v>
      </c>
      <c r="O110" s="61" t="s">
        <v>20</v>
      </c>
      <c r="P110" s="64">
        <f t="shared" si="2"/>
        <v>8.8283323127168814E-2</v>
      </c>
      <c r="Q110" s="4">
        <f t="shared" si="3"/>
        <v>3460</v>
      </c>
    </row>
    <row r="111" spans="1:17" ht="15.75" customHeight="1" x14ac:dyDescent="0.3">
      <c r="A111" s="60" t="s">
        <v>242</v>
      </c>
      <c r="B111" s="61" t="s">
        <v>22</v>
      </c>
      <c r="C111" s="62">
        <v>45492</v>
      </c>
      <c r="D111" s="61" t="s">
        <v>23</v>
      </c>
      <c r="E111" s="61" t="s">
        <v>360</v>
      </c>
      <c r="F111" s="61" t="s">
        <v>361</v>
      </c>
      <c r="G111" s="63">
        <v>3071</v>
      </c>
      <c r="H111" s="63">
        <v>126</v>
      </c>
      <c r="I111" s="63">
        <v>200</v>
      </c>
      <c r="J111" s="63">
        <v>44013</v>
      </c>
      <c r="K111" s="63">
        <v>44679</v>
      </c>
      <c r="L111" s="63">
        <v>118</v>
      </c>
      <c r="M111" s="61" t="s">
        <v>19</v>
      </c>
      <c r="N111" s="61" t="s">
        <v>355</v>
      </c>
      <c r="O111" s="61" t="s">
        <v>16</v>
      </c>
      <c r="P111" s="64">
        <f t="shared" si="2"/>
        <v>7.7181741758116915E-2</v>
      </c>
      <c r="Q111" s="4">
        <f t="shared" si="3"/>
        <v>3397</v>
      </c>
    </row>
    <row r="112" spans="1:17" ht="15.75" customHeight="1" x14ac:dyDescent="0.3">
      <c r="A112" s="55" t="s">
        <v>144</v>
      </c>
      <c r="B112" s="56" t="s">
        <v>28</v>
      </c>
      <c r="C112" s="57">
        <v>45493</v>
      </c>
      <c r="D112" s="56" t="s">
        <v>51</v>
      </c>
      <c r="E112" s="56" t="s">
        <v>29</v>
      </c>
      <c r="F112" s="56"/>
      <c r="G112" s="58">
        <v>4955</v>
      </c>
      <c r="H112" s="58">
        <v>299</v>
      </c>
      <c r="I112" s="58">
        <v>345</v>
      </c>
      <c r="J112" s="58">
        <v>33644</v>
      </c>
      <c r="K112" s="58">
        <v>43547</v>
      </c>
      <c r="L112" s="58">
        <v>194</v>
      </c>
      <c r="M112" s="56" t="s">
        <v>19</v>
      </c>
      <c r="N112" s="56" t="s">
        <v>39</v>
      </c>
      <c r="O112" s="56" t="s">
        <v>52</v>
      </c>
      <c r="P112" s="59">
        <f t="shared" si="2"/>
        <v>0.16641897515158721</v>
      </c>
      <c r="Q112" s="4">
        <f t="shared" si="3"/>
        <v>5599</v>
      </c>
    </row>
    <row r="113" spans="1:17" ht="15.75" customHeight="1" x14ac:dyDescent="0.3">
      <c r="A113" s="60" t="s">
        <v>133</v>
      </c>
      <c r="B113" s="61" t="s">
        <v>13</v>
      </c>
      <c r="C113" s="62">
        <v>45494</v>
      </c>
      <c r="D113" s="61" t="s">
        <v>14</v>
      </c>
      <c r="E113" s="61" t="s">
        <v>15</v>
      </c>
      <c r="F113" s="61"/>
      <c r="G113" s="63">
        <v>3004</v>
      </c>
      <c r="H113" s="63">
        <v>415</v>
      </c>
      <c r="I113" s="63">
        <v>218</v>
      </c>
      <c r="J113" s="63">
        <v>36090</v>
      </c>
      <c r="K113" s="63">
        <v>37073</v>
      </c>
      <c r="L113" s="63">
        <v>181</v>
      </c>
      <c r="M113" s="61" t="s">
        <v>19</v>
      </c>
      <c r="N113" s="61"/>
      <c r="O113" s="61" t="s">
        <v>20</v>
      </c>
      <c r="P113" s="64">
        <f t="shared" si="2"/>
        <v>0.10077583818232197</v>
      </c>
      <c r="Q113" s="4">
        <f t="shared" si="3"/>
        <v>3637</v>
      </c>
    </row>
    <row r="114" spans="1:17" ht="15.75" customHeight="1" x14ac:dyDescent="0.3">
      <c r="A114" s="60" t="s">
        <v>123</v>
      </c>
      <c r="B114" s="61" t="s">
        <v>22</v>
      </c>
      <c r="C114" s="62">
        <v>45495</v>
      </c>
      <c r="D114" s="61" t="s">
        <v>23</v>
      </c>
      <c r="E114" s="61" t="s">
        <v>26</v>
      </c>
      <c r="F114" s="61"/>
      <c r="G114" s="63">
        <v>3336</v>
      </c>
      <c r="H114" s="63">
        <v>229</v>
      </c>
      <c r="I114" s="63">
        <v>337</v>
      </c>
      <c r="J114" s="63">
        <v>22117</v>
      </c>
      <c r="K114" s="63">
        <v>26205</v>
      </c>
      <c r="L114" s="63">
        <v>160</v>
      </c>
      <c r="M114" s="61" t="s">
        <v>355</v>
      </c>
      <c r="N114" s="61" t="s">
        <v>36</v>
      </c>
      <c r="O114" s="61" t="s">
        <v>16</v>
      </c>
      <c r="P114" s="64">
        <f t="shared" si="2"/>
        <v>0.17642537414658407</v>
      </c>
      <c r="Q114" s="4">
        <f t="shared" si="3"/>
        <v>3902</v>
      </c>
    </row>
    <row r="115" spans="1:17" ht="15.75" customHeight="1" x14ac:dyDescent="0.3">
      <c r="A115" s="60" t="s">
        <v>216</v>
      </c>
      <c r="B115" s="61" t="s">
        <v>22</v>
      </c>
      <c r="C115" s="62">
        <v>45496</v>
      </c>
      <c r="D115" s="61" t="s">
        <v>14</v>
      </c>
      <c r="E115" s="61" t="s">
        <v>35</v>
      </c>
      <c r="F115" s="61"/>
      <c r="G115" s="63">
        <v>3204</v>
      </c>
      <c r="H115" s="63">
        <v>398</v>
      </c>
      <c r="I115" s="63">
        <v>85</v>
      </c>
      <c r="J115" s="63">
        <v>22020</v>
      </c>
      <c r="K115" s="63">
        <v>58353</v>
      </c>
      <c r="L115" s="63">
        <v>286</v>
      </c>
      <c r="M115" s="61" t="s">
        <v>39</v>
      </c>
      <c r="N115" s="61"/>
      <c r="O115" s="61" t="s">
        <v>20</v>
      </c>
      <c r="P115" s="64">
        <f t="shared" si="2"/>
        <v>0.16743869209809265</v>
      </c>
      <c r="Q115" s="4">
        <f t="shared" si="3"/>
        <v>3687</v>
      </c>
    </row>
    <row r="116" spans="1:17" ht="15.75" customHeight="1" x14ac:dyDescent="0.3">
      <c r="A116" s="55" t="s">
        <v>117</v>
      </c>
      <c r="B116" s="56" t="s">
        <v>22</v>
      </c>
      <c r="C116" s="57">
        <v>45507</v>
      </c>
      <c r="D116" s="56" t="s">
        <v>14</v>
      </c>
      <c r="E116" s="56" t="s">
        <v>45</v>
      </c>
      <c r="F116" s="56"/>
      <c r="G116" s="58">
        <v>4247</v>
      </c>
      <c r="H116" s="58">
        <v>390</v>
      </c>
      <c r="I116" s="58">
        <v>213</v>
      </c>
      <c r="J116" s="58">
        <v>29785</v>
      </c>
      <c r="K116" s="58">
        <v>57768</v>
      </c>
      <c r="L116" s="58">
        <v>122</v>
      </c>
      <c r="M116" s="56" t="s">
        <v>36</v>
      </c>
      <c r="N116" s="56"/>
      <c r="O116" s="56" t="s">
        <v>16</v>
      </c>
      <c r="P116" s="59">
        <f t="shared" si="2"/>
        <v>0.16283364109451065</v>
      </c>
      <c r="Q116" s="4">
        <f t="shared" si="3"/>
        <v>4850</v>
      </c>
    </row>
    <row r="117" spans="1:17" ht="15.75" customHeight="1" x14ac:dyDescent="0.3">
      <c r="A117" s="55" t="s">
        <v>286</v>
      </c>
      <c r="B117" s="56" t="s">
        <v>28</v>
      </c>
      <c r="C117" s="57">
        <v>45512</v>
      </c>
      <c r="D117" s="56" t="s">
        <v>14</v>
      </c>
      <c r="E117" s="56" t="s">
        <v>43</v>
      </c>
      <c r="F117" s="56"/>
      <c r="G117" s="58">
        <v>1994</v>
      </c>
      <c r="H117" s="58">
        <v>197</v>
      </c>
      <c r="I117" s="58">
        <v>290</v>
      </c>
      <c r="J117" s="58">
        <v>49500</v>
      </c>
      <c r="K117" s="58">
        <v>23343</v>
      </c>
      <c r="L117" s="58">
        <v>160</v>
      </c>
      <c r="M117" s="56" t="s">
        <v>19</v>
      </c>
      <c r="N117" s="56" t="s">
        <v>354</v>
      </c>
      <c r="O117" s="56" t="s">
        <v>20</v>
      </c>
      <c r="P117" s="59">
        <f t="shared" si="2"/>
        <v>5.0121212121212122E-2</v>
      </c>
      <c r="Q117" s="4">
        <f t="shared" si="3"/>
        <v>2481</v>
      </c>
    </row>
    <row r="118" spans="1:17" ht="15.75" customHeight="1" x14ac:dyDescent="0.3">
      <c r="A118" s="60" t="s">
        <v>196</v>
      </c>
      <c r="B118" s="61" t="s">
        <v>28</v>
      </c>
      <c r="C118" s="62">
        <v>45513</v>
      </c>
      <c r="D118" s="61" t="s">
        <v>51</v>
      </c>
      <c r="E118" s="61" t="s">
        <v>43</v>
      </c>
      <c r="F118" s="61"/>
      <c r="G118" s="63">
        <v>3414</v>
      </c>
      <c r="H118" s="63">
        <v>154</v>
      </c>
      <c r="I118" s="63">
        <v>204</v>
      </c>
      <c r="J118" s="63">
        <v>34146</v>
      </c>
      <c r="K118" s="63">
        <v>44633</v>
      </c>
      <c r="L118" s="63">
        <v>256</v>
      </c>
      <c r="M118" s="61" t="s">
        <v>19</v>
      </c>
      <c r="N118" s="61" t="s">
        <v>39</v>
      </c>
      <c r="O118" s="61" t="s">
        <v>52</v>
      </c>
      <c r="P118" s="64">
        <f t="shared" si="2"/>
        <v>0.11046681895390383</v>
      </c>
      <c r="Q118" s="4">
        <f t="shared" si="3"/>
        <v>3772</v>
      </c>
    </row>
    <row r="119" spans="1:17" ht="15.75" customHeight="1" x14ac:dyDescent="0.3">
      <c r="A119" s="55" t="s">
        <v>321</v>
      </c>
      <c r="B119" s="56" t="s">
        <v>22</v>
      </c>
      <c r="C119" s="57">
        <v>45513</v>
      </c>
      <c r="D119" s="56" t="s">
        <v>23</v>
      </c>
      <c r="E119" s="56" t="s">
        <v>43</v>
      </c>
      <c r="F119" s="56"/>
      <c r="G119" s="58">
        <v>4877</v>
      </c>
      <c r="H119" s="58">
        <v>442</v>
      </c>
      <c r="I119" s="58">
        <v>236</v>
      </c>
      <c r="J119" s="58">
        <v>52673</v>
      </c>
      <c r="K119" s="58">
        <v>48241</v>
      </c>
      <c r="L119" s="58">
        <v>114</v>
      </c>
      <c r="M119" s="56" t="s">
        <v>19</v>
      </c>
      <c r="N119" s="56" t="s">
        <v>355</v>
      </c>
      <c r="O119" s="56" t="s">
        <v>16</v>
      </c>
      <c r="P119" s="59">
        <f t="shared" si="2"/>
        <v>0.10546200140489435</v>
      </c>
      <c r="Q119" s="4">
        <f t="shared" si="3"/>
        <v>5555</v>
      </c>
    </row>
    <row r="120" spans="1:17" ht="15.75" customHeight="1" x14ac:dyDescent="0.3">
      <c r="A120" s="55" t="s">
        <v>92</v>
      </c>
      <c r="B120" s="56" t="s">
        <v>28</v>
      </c>
      <c r="C120" s="57">
        <v>45514</v>
      </c>
      <c r="D120" s="56" t="s">
        <v>14</v>
      </c>
      <c r="E120" s="56" t="s">
        <v>43</v>
      </c>
      <c r="F120" s="56"/>
      <c r="G120" s="58">
        <v>1105</v>
      </c>
      <c r="H120" s="58">
        <v>181</v>
      </c>
      <c r="I120" s="58">
        <v>55</v>
      </c>
      <c r="J120" s="58">
        <v>53581</v>
      </c>
      <c r="K120" s="58">
        <v>74048</v>
      </c>
      <c r="L120" s="58">
        <v>220</v>
      </c>
      <c r="M120" s="56" t="s">
        <v>19</v>
      </c>
      <c r="N120" s="56" t="s">
        <v>354</v>
      </c>
      <c r="O120" s="56" t="s">
        <v>20</v>
      </c>
      <c r="P120" s="59">
        <f t="shared" si="2"/>
        <v>2.50275284149232E-2</v>
      </c>
      <c r="Q120" s="4">
        <f t="shared" si="3"/>
        <v>1341</v>
      </c>
    </row>
    <row r="121" spans="1:17" ht="15.75" customHeight="1" x14ac:dyDescent="0.3">
      <c r="A121" s="55" t="s">
        <v>184</v>
      </c>
      <c r="B121" s="56" t="s">
        <v>13</v>
      </c>
      <c r="C121" s="57">
        <v>45516</v>
      </c>
      <c r="D121" s="56" t="s">
        <v>23</v>
      </c>
      <c r="E121" s="56" t="s">
        <v>15</v>
      </c>
      <c r="F121" s="56"/>
      <c r="G121" s="58">
        <v>2962</v>
      </c>
      <c r="H121" s="58">
        <v>400</v>
      </c>
      <c r="I121" s="58">
        <v>280</v>
      </c>
      <c r="J121" s="58">
        <v>52508</v>
      </c>
      <c r="K121" s="58">
        <v>58329</v>
      </c>
      <c r="L121" s="58">
        <v>219</v>
      </c>
      <c r="M121" s="56" t="s">
        <v>36</v>
      </c>
      <c r="N121" s="56"/>
      <c r="O121" s="56" t="s">
        <v>49</v>
      </c>
      <c r="P121" s="59">
        <f t="shared" si="2"/>
        <v>6.9360859297630834E-2</v>
      </c>
      <c r="Q121" s="4">
        <f t="shared" si="3"/>
        <v>3642</v>
      </c>
    </row>
    <row r="122" spans="1:17" ht="15.75" customHeight="1" x14ac:dyDescent="0.3">
      <c r="A122" s="55" t="s">
        <v>86</v>
      </c>
      <c r="B122" s="56" t="s">
        <v>22</v>
      </c>
      <c r="C122" s="57">
        <v>45516</v>
      </c>
      <c r="D122" s="56" t="s">
        <v>23</v>
      </c>
      <c r="E122" s="56" t="s">
        <v>360</v>
      </c>
      <c r="F122" s="56" t="s">
        <v>361</v>
      </c>
      <c r="G122" s="58">
        <v>2842</v>
      </c>
      <c r="H122" s="58">
        <v>213</v>
      </c>
      <c r="I122" s="58">
        <v>331</v>
      </c>
      <c r="J122" s="58">
        <v>57660</v>
      </c>
      <c r="K122" s="58">
        <v>68606</v>
      </c>
      <c r="L122" s="58">
        <v>87</v>
      </c>
      <c r="M122" s="56" t="s">
        <v>355</v>
      </c>
      <c r="N122" s="56" t="s">
        <v>36</v>
      </c>
      <c r="O122" s="56" t="s">
        <v>16</v>
      </c>
      <c r="P122" s="59">
        <f t="shared" si="2"/>
        <v>5.8723551855705859E-2</v>
      </c>
      <c r="Q122" s="4">
        <f t="shared" si="3"/>
        <v>3386</v>
      </c>
    </row>
    <row r="123" spans="1:17" ht="15.75" customHeight="1" x14ac:dyDescent="0.3">
      <c r="A123" s="60" t="s">
        <v>323</v>
      </c>
      <c r="B123" s="61" t="s">
        <v>22</v>
      </c>
      <c r="C123" s="62">
        <v>45517</v>
      </c>
      <c r="D123" s="61" t="s">
        <v>14</v>
      </c>
      <c r="E123" s="61" t="s">
        <v>18</v>
      </c>
      <c r="F123" s="61"/>
      <c r="G123" s="63">
        <v>3418</v>
      </c>
      <c r="H123" s="63">
        <v>107</v>
      </c>
      <c r="I123" s="63">
        <v>221</v>
      </c>
      <c r="J123" s="63">
        <v>23927</v>
      </c>
      <c r="K123" s="63">
        <v>26182</v>
      </c>
      <c r="L123" s="63">
        <v>155</v>
      </c>
      <c r="M123" s="61" t="s">
        <v>39</v>
      </c>
      <c r="N123" s="61"/>
      <c r="O123" s="61" t="s">
        <v>20</v>
      </c>
      <c r="P123" s="64">
        <f t="shared" si="2"/>
        <v>0.1565595352530614</v>
      </c>
      <c r="Q123" s="4">
        <f t="shared" si="3"/>
        <v>3746</v>
      </c>
    </row>
    <row r="124" spans="1:17" ht="15.75" customHeight="1" x14ac:dyDescent="0.3">
      <c r="A124" s="60" t="s">
        <v>118</v>
      </c>
      <c r="B124" s="61" t="s">
        <v>13</v>
      </c>
      <c r="C124" s="62">
        <v>45522</v>
      </c>
      <c r="D124" s="61" t="s">
        <v>14</v>
      </c>
      <c r="E124" s="61" t="s">
        <v>18</v>
      </c>
      <c r="F124" s="61"/>
      <c r="G124" s="63">
        <v>2965</v>
      </c>
      <c r="H124" s="63">
        <v>328</v>
      </c>
      <c r="I124" s="63">
        <v>171</v>
      </c>
      <c r="J124" s="63">
        <v>57685</v>
      </c>
      <c r="K124" s="63">
        <v>67536</v>
      </c>
      <c r="L124" s="63">
        <v>264</v>
      </c>
      <c r="M124" s="61" t="s">
        <v>39</v>
      </c>
      <c r="N124" s="61" t="s">
        <v>36</v>
      </c>
      <c r="O124" s="61" t="s">
        <v>16</v>
      </c>
      <c r="P124" s="64">
        <f t="shared" si="2"/>
        <v>6.0050273034584378E-2</v>
      </c>
      <c r="Q124" s="4">
        <f t="shared" si="3"/>
        <v>3464</v>
      </c>
    </row>
    <row r="125" spans="1:17" ht="15.75" customHeight="1" x14ac:dyDescent="0.3">
      <c r="A125" s="55" t="s">
        <v>239</v>
      </c>
      <c r="B125" s="56" t="s">
        <v>22</v>
      </c>
      <c r="C125" s="57">
        <v>45525</v>
      </c>
      <c r="D125" s="56" t="s">
        <v>23</v>
      </c>
      <c r="E125" s="56" t="s">
        <v>18</v>
      </c>
      <c r="F125" s="56"/>
      <c r="G125" s="58">
        <v>3989</v>
      </c>
      <c r="H125" s="58">
        <v>476</v>
      </c>
      <c r="I125" s="58">
        <v>128</v>
      </c>
      <c r="J125" s="58">
        <v>57569</v>
      </c>
      <c r="K125" s="58">
        <v>40193</v>
      </c>
      <c r="L125" s="58">
        <v>222</v>
      </c>
      <c r="M125" s="56" t="s">
        <v>19</v>
      </c>
      <c r="N125" s="56" t="s">
        <v>355</v>
      </c>
      <c r="O125" s="56" t="s">
        <v>16</v>
      </c>
      <c r="P125" s="59">
        <f t="shared" si="2"/>
        <v>7.9782521843353188E-2</v>
      </c>
      <c r="Q125" s="4">
        <f t="shared" si="3"/>
        <v>4593</v>
      </c>
    </row>
    <row r="126" spans="1:17" ht="15.75" customHeight="1" x14ac:dyDescent="0.3">
      <c r="A126" s="55" t="s">
        <v>115</v>
      </c>
      <c r="B126" s="56" t="s">
        <v>13</v>
      </c>
      <c r="C126" s="57">
        <v>45530</v>
      </c>
      <c r="D126" s="56" t="s">
        <v>14</v>
      </c>
      <c r="E126" s="56" t="s">
        <v>45</v>
      </c>
      <c r="F126" s="56"/>
      <c r="G126" s="58">
        <v>2102</v>
      </c>
      <c r="H126" s="58">
        <v>181</v>
      </c>
      <c r="I126" s="58">
        <v>306</v>
      </c>
      <c r="J126" s="58">
        <v>43650</v>
      </c>
      <c r="K126" s="58">
        <v>50079</v>
      </c>
      <c r="L126" s="58">
        <v>182</v>
      </c>
      <c r="M126" s="56" t="s">
        <v>19</v>
      </c>
      <c r="N126" s="56"/>
      <c r="O126" s="56" t="s">
        <v>20</v>
      </c>
      <c r="P126" s="59">
        <f t="shared" si="2"/>
        <v>5.9312714776632303E-2</v>
      </c>
      <c r="Q126" s="4">
        <f t="shared" si="3"/>
        <v>2589</v>
      </c>
    </row>
    <row r="127" spans="1:17" ht="15.75" customHeight="1" x14ac:dyDescent="0.3">
      <c r="A127" s="55" t="s">
        <v>173</v>
      </c>
      <c r="B127" s="56" t="s">
        <v>22</v>
      </c>
      <c r="C127" s="57">
        <v>45531</v>
      </c>
      <c r="D127" s="56" t="s">
        <v>23</v>
      </c>
      <c r="E127" s="56" t="s">
        <v>24</v>
      </c>
      <c r="F127" s="56"/>
      <c r="G127" s="58">
        <v>1856</v>
      </c>
      <c r="H127" s="58">
        <v>357</v>
      </c>
      <c r="I127" s="58">
        <v>348</v>
      </c>
      <c r="J127" s="58">
        <v>29428</v>
      </c>
      <c r="K127" s="58">
        <v>70206</v>
      </c>
      <c r="L127" s="58">
        <v>236</v>
      </c>
      <c r="M127" s="56" t="s">
        <v>355</v>
      </c>
      <c r="N127" s="56" t="s">
        <v>36</v>
      </c>
      <c r="O127" s="56" t="s">
        <v>16</v>
      </c>
      <c r="P127" s="59">
        <f t="shared" si="2"/>
        <v>8.702596166915863E-2</v>
      </c>
      <c r="Q127" s="4">
        <f t="shared" si="3"/>
        <v>2561</v>
      </c>
    </row>
    <row r="128" spans="1:17" ht="15.75" customHeight="1" x14ac:dyDescent="0.3">
      <c r="A128" s="60" t="s">
        <v>316</v>
      </c>
      <c r="B128" s="61" t="s">
        <v>13</v>
      </c>
      <c r="C128" s="62">
        <v>45531</v>
      </c>
      <c r="D128" s="61" t="s">
        <v>14</v>
      </c>
      <c r="E128" s="61" t="s">
        <v>29</v>
      </c>
      <c r="F128" s="61"/>
      <c r="G128" s="63">
        <v>4197</v>
      </c>
      <c r="H128" s="63">
        <v>359</v>
      </c>
      <c r="I128" s="63">
        <v>280</v>
      </c>
      <c r="J128" s="63">
        <v>56048</v>
      </c>
      <c r="K128" s="63">
        <v>70930</v>
      </c>
      <c r="L128" s="63">
        <v>295</v>
      </c>
      <c r="M128" s="61" t="s">
        <v>19</v>
      </c>
      <c r="N128" s="61"/>
      <c r="O128" s="61" t="s">
        <v>20</v>
      </c>
      <c r="P128" s="64">
        <f t="shared" si="2"/>
        <v>8.628318584070796E-2</v>
      </c>
      <c r="Q128" s="4">
        <f t="shared" si="3"/>
        <v>4836</v>
      </c>
    </row>
    <row r="129" spans="1:17" ht="15.75" customHeight="1" x14ac:dyDescent="0.3">
      <c r="A129" s="55" t="s">
        <v>82</v>
      </c>
      <c r="B129" s="56" t="s">
        <v>22</v>
      </c>
      <c r="C129" s="57">
        <v>45533</v>
      </c>
      <c r="D129" s="56" t="s">
        <v>23</v>
      </c>
      <c r="E129" s="56" t="s">
        <v>32</v>
      </c>
      <c r="F129" s="56"/>
      <c r="G129" s="58">
        <v>4276</v>
      </c>
      <c r="H129" s="58">
        <v>227</v>
      </c>
      <c r="I129" s="58">
        <v>223</v>
      </c>
      <c r="J129" s="58">
        <v>43443</v>
      </c>
      <c r="K129" s="58">
        <v>41005</v>
      </c>
      <c r="L129" s="58">
        <v>191</v>
      </c>
      <c r="M129" s="56" t="s">
        <v>19</v>
      </c>
      <c r="N129" s="56" t="s">
        <v>355</v>
      </c>
      <c r="O129" s="56" t="s">
        <v>16</v>
      </c>
      <c r="P129" s="59">
        <f t="shared" si="2"/>
        <v>0.1087862256289851</v>
      </c>
      <c r="Q129" s="4">
        <f t="shared" si="3"/>
        <v>4726</v>
      </c>
    </row>
    <row r="130" spans="1:17" ht="15.75" customHeight="1" x14ac:dyDescent="0.3">
      <c r="A130" s="60" t="s">
        <v>273</v>
      </c>
      <c r="B130" s="61" t="s">
        <v>28</v>
      </c>
      <c r="C130" s="62">
        <v>45533</v>
      </c>
      <c r="D130" s="61" t="s">
        <v>14</v>
      </c>
      <c r="E130" s="61" t="s">
        <v>26</v>
      </c>
      <c r="F130" s="61"/>
      <c r="G130" s="63">
        <v>4774</v>
      </c>
      <c r="H130" s="63">
        <v>389</v>
      </c>
      <c r="I130" s="63">
        <v>358</v>
      </c>
      <c r="J130" s="63">
        <v>52346</v>
      </c>
      <c r="K130" s="63">
        <v>30518</v>
      </c>
      <c r="L130" s="63">
        <v>277</v>
      </c>
      <c r="M130" s="61" t="s">
        <v>19</v>
      </c>
      <c r="N130" s="61" t="s">
        <v>354</v>
      </c>
      <c r="O130" s="61" t="s">
        <v>20</v>
      </c>
      <c r="P130" s="64">
        <f t="shared" ref="P130:P193" si="4">(G130+H130+I130)/J130</f>
        <v>0.10547128720437092</v>
      </c>
      <c r="Q130" s="4">
        <f t="shared" si="3"/>
        <v>5521</v>
      </c>
    </row>
    <row r="131" spans="1:17" ht="15.75" customHeight="1" x14ac:dyDescent="0.3">
      <c r="A131" s="55" t="s">
        <v>204</v>
      </c>
      <c r="B131" s="56" t="s">
        <v>13</v>
      </c>
      <c r="C131" s="57">
        <v>45536</v>
      </c>
      <c r="D131" s="56" t="s">
        <v>23</v>
      </c>
      <c r="E131" s="56" t="s">
        <v>26</v>
      </c>
      <c r="F131" s="56"/>
      <c r="G131" s="58">
        <v>2335</v>
      </c>
      <c r="H131" s="58">
        <v>150</v>
      </c>
      <c r="I131" s="58">
        <v>75</v>
      </c>
      <c r="J131" s="58">
        <v>26114</v>
      </c>
      <c r="K131" s="58">
        <v>57549</v>
      </c>
      <c r="L131" s="58">
        <v>135</v>
      </c>
      <c r="M131" s="56" t="s">
        <v>36</v>
      </c>
      <c r="N131" s="56"/>
      <c r="O131" s="56" t="s">
        <v>49</v>
      </c>
      <c r="P131" s="59">
        <f t="shared" si="4"/>
        <v>9.8031707130274953E-2</v>
      </c>
      <c r="Q131" s="4">
        <f t="shared" ref="Q131:Q194" si="5">G131+H131+I131</f>
        <v>2560</v>
      </c>
    </row>
    <row r="132" spans="1:17" ht="15.75" customHeight="1" x14ac:dyDescent="0.3">
      <c r="A132" s="60" t="s">
        <v>189</v>
      </c>
      <c r="B132" s="61" t="s">
        <v>28</v>
      </c>
      <c r="C132" s="62">
        <v>45538</v>
      </c>
      <c r="D132" s="61" t="s">
        <v>51</v>
      </c>
      <c r="E132" s="61" t="s">
        <v>360</v>
      </c>
      <c r="F132" s="61" t="s">
        <v>361</v>
      </c>
      <c r="G132" s="63">
        <v>1437</v>
      </c>
      <c r="H132" s="63">
        <v>494</v>
      </c>
      <c r="I132" s="63">
        <v>129</v>
      </c>
      <c r="J132" s="63">
        <v>53048</v>
      </c>
      <c r="K132" s="63">
        <v>44090</v>
      </c>
      <c r="L132" s="63">
        <v>230</v>
      </c>
      <c r="M132" s="61" t="s">
        <v>19</v>
      </c>
      <c r="N132" s="61" t="s">
        <v>39</v>
      </c>
      <c r="O132" s="61" t="s">
        <v>52</v>
      </c>
      <c r="P132" s="64">
        <f t="shared" si="4"/>
        <v>3.8832755240536872E-2</v>
      </c>
      <c r="Q132" s="4">
        <f t="shared" si="5"/>
        <v>2060</v>
      </c>
    </row>
    <row r="133" spans="1:17" ht="15.75" customHeight="1" x14ac:dyDescent="0.3">
      <c r="A133" s="55" t="s">
        <v>85</v>
      </c>
      <c r="B133" s="56" t="s">
        <v>22</v>
      </c>
      <c r="C133" s="57">
        <v>45539</v>
      </c>
      <c r="D133" s="56" t="s">
        <v>23</v>
      </c>
      <c r="E133" s="56" t="s">
        <v>24</v>
      </c>
      <c r="F133" s="56"/>
      <c r="G133" s="58">
        <v>2613</v>
      </c>
      <c r="H133" s="58">
        <v>455</v>
      </c>
      <c r="I133" s="58">
        <v>228</v>
      </c>
      <c r="J133" s="58">
        <v>21645</v>
      </c>
      <c r="K133" s="58">
        <v>61334</v>
      </c>
      <c r="L133" s="58">
        <v>261</v>
      </c>
      <c r="M133" s="56" t="s">
        <v>19</v>
      </c>
      <c r="N133" s="56" t="s">
        <v>355</v>
      </c>
      <c r="O133" s="56" t="s">
        <v>16</v>
      </c>
      <c r="P133" s="59">
        <f t="shared" si="4"/>
        <v>0.15227535227535227</v>
      </c>
      <c r="Q133" s="4">
        <f t="shared" si="5"/>
        <v>3296</v>
      </c>
    </row>
    <row r="134" spans="1:17" ht="15.75" customHeight="1" x14ac:dyDescent="0.3">
      <c r="A134" s="55" t="s">
        <v>77</v>
      </c>
      <c r="B134" s="56" t="s">
        <v>13</v>
      </c>
      <c r="C134" s="57">
        <v>45541</v>
      </c>
      <c r="D134" s="56" t="s">
        <v>14</v>
      </c>
      <c r="E134" s="56" t="s">
        <v>24</v>
      </c>
      <c r="F134" s="56"/>
      <c r="G134" s="58">
        <v>1452</v>
      </c>
      <c r="H134" s="58">
        <v>281</v>
      </c>
      <c r="I134" s="58">
        <v>326</v>
      </c>
      <c r="J134" s="58">
        <v>51556</v>
      </c>
      <c r="K134" s="58">
        <v>62599</v>
      </c>
      <c r="L134" s="58">
        <v>290</v>
      </c>
      <c r="M134" s="56" t="s">
        <v>19</v>
      </c>
      <c r="N134" s="56"/>
      <c r="O134" s="56" t="s">
        <v>20</v>
      </c>
      <c r="P134" s="59">
        <f t="shared" si="4"/>
        <v>3.9937155714174881E-2</v>
      </c>
      <c r="Q134" s="4">
        <f t="shared" si="5"/>
        <v>2059</v>
      </c>
    </row>
    <row r="135" spans="1:17" ht="15.75" customHeight="1" x14ac:dyDescent="0.3">
      <c r="A135" s="60" t="s">
        <v>141</v>
      </c>
      <c r="B135" s="61" t="s">
        <v>28</v>
      </c>
      <c r="C135" s="62">
        <v>45542</v>
      </c>
      <c r="D135" s="61" t="s">
        <v>51</v>
      </c>
      <c r="E135" s="61" t="s">
        <v>29</v>
      </c>
      <c r="F135" s="61"/>
      <c r="G135" s="63">
        <v>3882</v>
      </c>
      <c r="H135" s="63">
        <v>342</v>
      </c>
      <c r="I135" s="63">
        <v>374</v>
      </c>
      <c r="J135" s="63">
        <v>41991</v>
      </c>
      <c r="K135" s="63">
        <v>48554</v>
      </c>
      <c r="L135" s="63">
        <v>118</v>
      </c>
      <c r="M135" s="61" t="s">
        <v>19</v>
      </c>
      <c r="N135" s="61" t="s">
        <v>39</v>
      </c>
      <c r="O135" s="61" t="s">
        <v>52</v>
      </c>
      <c r="P135" s="64">
        <f t="shared" si="4"/>
        <v>0.10949965468790931</v>
      </c>
      <c r="Q135" s="4">
        <f t="shared" si="5"/>
        <v>4598</v>
      </c>
    </row>
    <row r="136" spans="1:17" ht="15.75" customHeight="1" x14ac:dyDescent="0.3">
      <c r="A136" s="55" t="s">
        <v>268</v>
      </c>
      <c r="B136" s="56" t="s">
        <v>28</v>
      </c>
      <c r="C136" s="57">
        <v>45542</v>
      </c>
      <c r="D136" s="56" t="s">
        <v>14</v>
      </c>
      <c r="E136" s="56" t="s">
        <v>45</v>
      </c>
      <c r="F136" s="56"/>
      <c r="G136" s="58">
        <v>2101</v>
      </c>
      <c r="H136" s="58">
        <v>411</v>
      </c>
      <c r="I136" s="58">
        <v>190</v>
      </c>
      <c r="J136" s="58">
        <v>41791</v>
      </c>
      <c r="K136" s="58">
        <v>57090</v>
      </c>
      <c r="L136" s="58">
        <v>172</v>
      </c>
      <c r="M136" s="56" t="s">
        <v>19</v>
      </c>
      <c r="N136" s="56" t="s">
        <v>354</v>
      </c>
      <c r="O136" s="56" t="s">
        <v>20</v>
      </c>
      <c r="P136" s="59">
        <f t="shared" si="4"/>
        <v>6.4655069273288512E-2</v>
      </c>
      <c r="Q136" s="4">
        <f t="shared" si="5"/>
        <v>2702</v>
      </c>
    </row>
    <row r="137" spans="1:17" ht="15.75" customHeight="1" x14ac:dyDescent="0.3">
      <c r="A137" s="55" t="s">
        <v>146</v>
      </c>
      <c r="B137" s="56" t="s">
        <v>13</v>
      </c>
      <c r="C137" s="57">
        <v>45544</v>
      </c>
      <c r="D137" s="56" t="s">
        <v>14</v>
      </c>
      <c r="E137" s="56" t="s">
        <v>24</v>
      </c>
      <c r="F137" s="56"/>
      <c r="G137" s="58">
        <v>1616</v>
      </c>
      <c r="H137" s="58">
        <v>360</v>
      </c>
      <c r="I137" s="58">
        <v>180</v>
      </c>
      <c r="J137" s="58">
        <v>54342</v>
      </c>
      <c r="K137" s="58">
        <v>18796</v>
      </c>
      <c r="L137" s="58">
        <v>282</v>
      </c>
      <c r="M137" s="56" t="s">
        <v>39</v>
      </c>
      <c r="N137" s="56" t="s">
        <v>36</v>
      </c>
      <c r="O137" s="56" t="s">
        <v>16</v>
      </c>
      <c r="P137" s="59">
        <f t="shared" si="4"/>
        <v>3.9674653122814763E-2</v>
      </c>
      <c r="Q137" s="4">
        <f t="shared" si="5"/>
        <v>2156</v>
      </c>
    </row>
    <row r="138" spans="1:17" ht="15.75" customHeight="1" x14ac:dyDescent="0.3">
      <c r="A138" s="55" t="s">
        <v>71</v>
      </c>
      <c r="B138" s="56" t="s">
        <v>13</v>
      </c>
      <c r="C138" s="57">
        <v>45545</v>
      </c>
      <c r="D138" s="56" t="s">
        <v>23</v>
      </c>
      <c r="E138" s="56" t="s">
        <v>24</v>
      </c>
      <c r="F138" s="56"/>
      <c r="G138" s="58">
        <v>1230</v>
      </c>
      <c r="H138" s="58">
        <v>309</v>
      </c>
      <c r="I138" s="58">
        <v>207</v>
      </c>
      <c r="J138" s="58">
        <v>44629</v>
      </c>
      <c r="K138" s="58">
        <v>40699</v>
      </c>
      <c r="L138" s="58">
        <v>195</v>
      </c>
      <c r="M138" s="56" t="s">
        <v>36</v>
      </c>
      <c r="N138" s="56"/>
      <c r="O138" s="56" t="s">
        <v>49</v>
      </c>
      <c r="P138" s="59">
        <f t="shared" si="4"/>
        <v>3.9122543637545096E-2</v>
      </c>
      <c r="Q138" s="4">
        <f t="shared" si="5"/>
        <v>1746</v>
      </c>
    </row>
    <row r="139" spans="1:17" ht="15.75" customHeight="1" x14ac:dyDescent="0.3">
      <c r="A139" s="55" t="s">
        <v>234</v>
      </c>
      <c r="B139" s="56" t="s">
        <v>22</v>
      </c>
      <c r="C139" s="57">
        <v>45547</v>
      </c>
      <c r="D139" s="56" t="s">
        <v>23</v>
      </c>
      <c r="E139" s="56" t="s">
        <v>26</v>
      </c>
      <c r="F139" s="56"/>
      <c r="G139" s="58">
        <v>1839</v>
      </c>
      <c r="H139" s="58">
        <v>223</v>
      </c>
      <c r="I139" s="58">
        <v>171</v>
      </c>
      <c r="J139" s="58">
        <v>35459</v>
      </c>
      <c r="K139" s="58">
        <v>69988</v>
      </c>
      <c r="L139" s="58">
        <v>114</v>
      </c>
      <c r="M139" s="56" t="s">
        <v>355</v>
      </c>
      <c r="N139" s="56" t="s">
        <v>36</v>
      </c>
      <c r="O139" s="56" t="s">
        <v>16</v>
      </c>
      <c r="P139" s="59">
        <f t="shared" si="4"/>
        <v>6.2974139146620034E-2</v>
      </c>
      <c r="Q139" s="4">
        <f t="shared" si="5"/>
        <v>2233</v>
      </c>
    </row>
    <row r="140" spans="1:17" ht="15.75" customHeight="1" x14ac:dyDescent="0.3">
      <c r="A140" s="55" t="s">
        <v>274</v>
      </c>
      <c r="B140" s="56" t="s">
        <v>22</v>
      </c>
      <c r="C140" s="57">
        <v>45550</v>
      </c>
      <c r="D140" s="56" t="s">
        <v>14</v>
      </c>
      <c r="E140" s="56" t="s">
        <v>32</v>
      </c>
      <c r="F140" s="56"/>
      <c r="G140" s="58">
        <v>2145</v>
      </c>
      <c r="H140" s="58">
        <v>340</v>
      </c>
      <c r="I140" s="58">
        <v>85</v>
      </c>
      <c r="J140" s="58">
        <v>53323</v>
      </c>
      <c r="K140" s="58">
        <v>49938</v>
      </c>
      <c r="L140" s="58">
        <v>104</v>
      </c>
      <c r="M140" s="56" t="s">
        <v>36</v>
      </c>
      <c r="N140" s="56"/>
      <c r="O140" s="56" t="s">
        <v>16</v>
      </c>
      <c r="P140" s="59">
        <f t="shared" si="4"/>
        <v>4.819683813738912E-2</v>
      </c>
      <c r="Q140" s="4">
        <f t="shared" si="5"/>
        <v>2570</v>
      </c>
    </row>
    <row r="141" spans="1:17" ht="15.75" customHeight="1" x14ac:dyDescent="0.3">
      <c r="A141" s="60" t="s">
        <v>225</v>
      </c>
      <c r="B141" s="61" t="s">
        <v>22</v>
      </c>
      <c r="C141" s="62">
        <v>45551</v>
      </c>
      <c r="D141" s="61" t="s">
        <v>23</v>
      </c>
      <c r="E141" s="61" t="s">
        <v>360</v>
      </c>
      <c r="F141" s="61" t="s">
        <v>361</v>
      </c>
      <c r="G141" s="63">
        <v>4422</v>
      </c>
      <c r="H141" s="63">
        <v>434</v>
      </c>
      <c r="I141" s="63">
        <v>156</v>
      </c>
      <c r="J141" s="63">
        <v>56165</v>
      </c>
      <c r="K141" s="63">
        <v>52431</v>
      </c>
      <c r="L141" s="63">
        <v>173</v>
      </c>
      <c r="M141" s="61" t="s">
        <v>19</v>
      </c>
      <c r="N141" s="61" t="s">
        <v>355</v>
      </c>
      <c r="O141" s="61" t="s">
        <v>16</v>
      </c>
      <c r="P141" s="64">
        <f t="shared" si="4"/>
        <v>8.9237069349238848E-2</v>
      </c>
      <c r="Q141" s="4">
        <f t="shared" si="5"/>
        <v>5012</v>
      </c>
    </row>
    <row r="142" spans="1:17" ht="15.75" customHeight="1" x14ac:dyDescent="0.3">
      <c r="A142" s="60" t="s">
        <v>280</v>
      </c>
      <c r="B142" s="61" t="s">
        <v>22</v>
      </c>
      <c r="C142" s="62">
        <v>45551</v>
      </c>
      <c r="D142" s="61" t="s">
        <v>23</v>
      </c>
      <c r="E142" s="61" t="s">
        <v>45</v>
      </c>
      <c r="F142" s="61"/>
      <c r="G142" s="63">
        <v>3300</v>
      </c>
      <c r="H142" s="63">
        <v>354</v>
      </c>
      <c r="I142" s="63">
        <v>397</v>
      </c>
      <c r="J142" s="63">
        <v>56773</v>
      </c>
      <c r="K142" s="63">
        <v>72110</v>
      </c>
      <c r="L142" s="63">
        <v>163</v>
      </c>
      <c r="M142" s="61" t="s">
        <v>19</v>
      </c>
      <c r="N142" s="61" t="s">
        <v>355</v>
      </c>
      <c r="O142" s="61" t="s">
        <v>16</v>
      </c>
      <c r="P142" s="64">
        <f t="shared" si="4"/>
        <v>7.1354340971940891E-2</v>
      </c>
      <c r="Q142" s="4">
        <f t="shared" si="5"/>
        <v>4051</v>
      </c>
    </row>
    <row r="143" spans="1:17" ht="15.75" customHeight="1" x14ac:dyDescent="0.3">
      <c r="A143" s="55" t="s">
        <v>138</v>
      </c>
      <c r="B143" s="56" t="s">
        <v>22</v>
      </c>
      <c r="C143" s="57">
        <v>45553</v>
      </c>
      <c r="D143" s="56" t="s">
        <v>14</v>
      </c>
      <c r="E143" s="56" t="s">
        <v>15</v>
      </c>
      <c r="F143" s="56"/>
      <c r="G143" s="58">
        <v>2878</v>
      </c>
      <c r="H143" s="58">
        <v>265</v>
      </c>
      <c r="I143" s="58">
        <v>91</v>
      </c>
      <c r="J143" s="58">
        <v>52090</v>
      </c>
      <c r="K143" s="58">
        <v>28924</v>
      </c>
      <c r="L143" s="58">
        <v>133</v>
      </c>
      <c r="M143" s="56" t="s">
        <v>36</v>
      </c>
      <c r="N143" s="56"/>
      <c r="O143" s="56" t="s">
        <v>16</v>
      </c>
      <c r="P143" s="59">
        <f t="shared" si="4"/>
        <v>6.2084853138798232E-2</v>
      </c>
      <c r="Q143" s="4">
        <f t="shared" si="5"/>
        <v>3234</v>
      </c>
    </row>
    <row r="144" spans="1:17" ht="15.75" customHeight="1" x14ac:dyDescent="0.3">
      <c r="A144" s="60" t="s">
        <v>185</v>
      </c>
      <c r="B144" s="61" t="s">
        <v>13</v>
      </c>
      <c r="C144" s="62">
        <v>45562</v>
      </c>
      <c r="D144" s="61" t="s">
        <v>14</v>
      </c>
      <c r="E144" s="61" t="s">
        <v>15</v>
      </c>
      <c r="F144" s="61"/>
      <c r="G144" s="63">
        <v>3118</v>
      </c>
      <c r="H144" s="63">
        <v>116</v>
      </c>
      <c r="I144" s="63">
        <v>195</v>
      </c>
      <c r="J144" s="63">
        <v>37100</v>
      </c>
      <c r="K144" s="63">
        <v>62629</v>
      </c>
      <c r="L144" s="63">
        <v>272</v>
      </c>
      <c r="M144" s="61" t="s">
        <v>19</v>
      </c>
      <c r="N144" s="61"/>
      <c r="O144" s="61" t="s">
        <v>20</v>
      </c>
      <c r="P144" s="64">
        <f t="shared" si="4"/>
        <v>9.2425876010781671E-2</v>
      </c>
      <c r="Q144" s="4">
        <f t="shared" si="5"/>
        <v>3429</v>
      </c>
    </row>
    <row r="145" spans="1:17" ht="15.75" customHeight="1" x14ac:dyDescent="0.3">
      <c r="A145" s="60" t="s">
        <v>313</v>
      </c>
      <c r="B145" s="61" t="s">
        <v>22</v>
      </c>
      <c r="C145" s="62">
        <v>45563</v>
      </c>
      <c r="D145" s="61" t="s">
        <v>23</v>
      </c>
      <c r="E145" s="61" t="s">
        <v>26</v>
      </c>
      <c r="F145" s="61"/>
      <c r="G145" s="63">
        <v>4471</v>
      </c>
      <c r="H145" s="63">
        <v>317</v>
      </c>
      <c r="I145" s="63">
        <v>249</v>
      </c>
      <c r="J145" s="63">
        <v>44862</v>
      </c>
      <c r="K145" s="63">
        <v>33365</v>
      </c>
      <c r="L145" s="63">
        <v>184</v>
      </c>
      <c r="M145" s="61" t="s">
        <v>19</v>
      </c>
      <c r="N145" s="61" t="s">
        <v>355</v>
      </c>
      <c r="O145" s="61" t="s">
        <v>16</v>
      </c>
      <c r="P145" s="64">
        <f t="shared" si="4"/>
        <v>0.1122776514644911</v>
      </c>
      <c r="Q145" s="4">
        <f t="shared" si="5"/>
        <v>5037</v>
      </c>
    </row>
    <row r="146" spans="1:17" ht="15.75" customHeight="1" x14ac:dyDescent="0.3">
      <c r="A146" s="55" t="s">
        <v>165</v>
      </c>
      <c r="B146" s="56" t="s">
        <v>22</v>
      </c>
      <c r="C146" s="57">
        <v>45563</v>
      </c>
      <c r="D146" s="56" t="s">
        <v>14</v>
      </c>
      <c r="E146" s="56" t="s">
        <v>360</v>
      </c>
      <c r="F146" s="56" t="s">
        <v>361</v>
      </c>
      <c r="G146" s="58">
        <v>4006</v>
      </c>
      <c r="H146" s="58">
        <v>420</v>
      </c>
      <c r="I146" s="58">
        <v>194</v>
      </c>
      <c r="J146" s="58">
        <v>49964</v>
      </c>
      <c r="K146" s="58">
        <v>20685</v>
      </c>
      <c r="L146" s="58">
        <v>148</v>
      </c>
      <c r="M146" s="56" t="s">
        <v>36</v>
      </c>
      <c r="N146" s="56"/>
      <c r="O146" s="56" t="s">
        <v>16</v>
      </c>
      <c r="P146" s="59">
        <f t="shared" si="4"/>
        <v>9.2466575934672959E-2</v>
      </c>
      <c r="Q146" s="4">
        <f t="shared" si="5"/>
        <v>4620</v>
      </c>
    </row>
    <row r="147" spans="1:17" ht="15.75" customHeight="1" x14ac:dyDescent="0.3">
      <c r="A147" s="60" t="s">
        <v>174</v>
      </c>
      <c r="B147" s="61" t="s">
        <v>28</v>
      </c>
      <c r="C147" s="62">
        <v>45566</v>
      </c>
      <c r="D147" s="61" t="s">
        <v>51</v>
      </c>
      <c r="E147" s="61" t="s">
        <v>18</v>
      </c>
      <c r="F147" s="61"/>
      <c r="G147" s="63">
        <v>3543</v>
      </c>
      <c r="H147" s="63">
        <v>334</v>
      </c>
      <c r="I147" s="63">
        <v>218</v>
      </c>
      <c r="J147" s="63">
        <v>58007</v>
      </c>
      <c r="K147" s="63">
        <v>24792</v>
      </c>
      <c r="L147" s="63">
        <v>273</v>
      </c>
      <c r="M147" s="61" t="s">
        <v>19</v>
      </c>
      <c r="N147" s="61" t="s">
        <v>39</v>
      </c>
      <c r="O147" s="61" t="s">
        <v>52</v>
      </c>
      <c r="P147" s="64">
        <f t="shared" si="4"/>
        <v>7.0594928198320889E-2</v>
      </c>
      <c r="Q147" s="4">
        <f t="shared" si="5"/>
        <v>4095</v>
      </c>
    </row>
    <row r="148" spans="1:17" ht="15.75" customHeight="1" x14ac:dyDescent="0.3">
      <c r="A148" s="60" t="s">
        <v>168</v>
      </c>
      <c r="B148" s="61" t="s">
        <v>22</v>
      </c>
      <c r="C148" s="62">
        <v>45569</v>
      </c>
      <c r="D148" s="61" t="s">
        <v>23</v>
      </c>
      <c r="E148" s="61" t="s">
        <v>18</v>
      </c>
      <c r="F148" s="61"/>
      <c r="G148" s="63">
        <v>2870</v>
      </c>
      <c r="H148" s="63">
        <v>380</v>
      </c>
      <c r="I148" s="63">
        <v>393</v>
      </c>
      <c r="J148" s="63">
        <v>37621</v>
      </c>
      <c r="K148" s="63">
        <v>71794</v>
      </c>
      <c r="L148" s="63">
        <v>127</v>
      </c>
      <c r="M148" s="61" t="s">
        <v>355</v>
      </c>
      <c r="N148" s="61" t="s">
        <v>36</v>
      </c>
      <c r="O148" s="61" t="s">
        <v>16</v>
      </c>
      <c r="P148" s="64">
        <f t="shared" si="4"/>
        <v>9.6834214933149046E-2</v>
      </c>
      <c r="Q148" s="4">
        <f t="shared" si="5"/>
        <v>3643</v>
      </c>
    </row>
    <row r="149" spans="1:17" ht="15.75" customHeight="1" x14ac:dyDescent="0.3">
      <c r="A149" s="60" t="s">
        <v>236</v>
      </c>
      <c r="B149" s="61" t="s">
        <v>13</v>
      </c>
      <c r="C149" s="62">
        <v>45571</v>
      </c>
      <c r="D149" s="61" t="s">
        <v>14</v>
      </c>
      <c r="E149" s="61" t="s">
        <v>35</v>
      </c>
      <c r="F149" s="61"/>
      <c r="G149" s="63">
        <v>2080</v>
      </c>
      <c r="H149" s="63">
        <v>389</v>
      </c>
      <c r="I149" s="63">
        <v>92</v>
      </c>
      <c r="J149" s="63">
        <v>30971</v>
      </c>
      <c r="K149" s="63">
        <v>25347</v>
      </c>
      <c r="L149" s="63">
        <v>111</v>
      </c>
      <c r="M149" s="61" t="s">
        <v>19</v>
      </c>
      <c r="N149" s="61"/>
      <c r="O149" s="61" t="s">
        <v>20</v>
      </c>
      <c r="P149" s="64">
        <f t="shared" si="4"/>
        <v>8.2690258629040073E-2</v>
      </c>
      <c r="Q149" s="4">
        <f t="shared" si="5"/>
        <v>2561</v>
      </c>
    </row>
    <row r="150" spans="1:17" ht="15.75" customHeight="1" x14ac:dyDescent="0.3">
      <c r="A150" s="60" t="s">
        <v>42</v>
      </c>
      <c r="B150" s="61" t="s">
        <v>22</v>
      </c>
      <c r="C150" s="62">
        <v>45573</v>
      </c>
      <c r="D150" s="61" t="s">
        <v>14</v>
      </c>
      <c r="E150" s="61" t="s">
        <v>43</v>
      </c>
      <c r="F150" s="61"/>
      <c r="G150" s="63">
        <v>2460</v>
      </c>
      <c r="H150" s="63">
        <v>409</v>
      </c>
      <c r="I150" s="63">
        <v>253</v>
      </c>
      <c r="J150" s="63">
        <v>36702</v>
      </c>
      <c r="K150" s="63">
        <v>46122</v>
      </c>
      <c r="L150" s="63">
        <v>264</v>
      </c>
      <c r="M150" s="61" t="s">
        <v>36</v>
      </c>
      <c r="N150" s="61"/>
      <c r="O150" s="61" t="s">
        <v>16</v>
      </c>
      <c r="P150" s="64">
        <f t="shared" si="4"/>
        <v>8.5063484278785892E-2</v>
      </c>
      <c r="Q150" s="4">
        <f t="shared" si="5"/>
        <v>3122</v>
      </c>
    </row>
    <row r="151" spans="1:17" ht="15.75" customHeight="1" x14ac:dyDescent="0.3">
      <c r="A151" s="60" t="s">
        <v>307</v>
      </c>
      <c r="B151" s="61" t="s">
        <v>13</v>
      </c>
      <c r="C151" s="62">
        <v>45573</v>
      </c>
      <c r="D151" s="61" t="s">
        <v>14</v>
      </c>
      <c r="E151" s="61" t="s">
        <v>18</v>
      </c>
      <c r="F151" s="61"/>
      <c r="G151" s="63">
        <v>2110</v>
      </c>
      <c r="H151" s="63">
        <v>384</v>
      </c>
      <c r="I151" s="63">
        <v>236</v>
      </c>
      <c r="J151" s="63">
        <v>49965</v>
      </c>
      <c r="K151" s="63">
        <v>61555</v>
      </c>
      <c r="L151" s="63">
        <v>195</v>
      </c>
      <c r="M151" s="61" t="s">
        <v>19</v>
      </c>
      <c r="N151" s="61"/>
      <c r="O151" s="61" t="s">
        <v>20</v>
      </c>
      <c r="P151" s="64">
        <f t="shared" si="4"/>
        <v>5.4638246772740921E-2</v>
      </c>
      <c r="Q151" s="4">
        <f t="shared" si="5"/>
        <v>2730</v>
      </c>
    </row>
    <row r="152" spans="1:17" ht="15.75" customHeight="1" x14ac:dyDescent="0.3">
      <c r="A152" s="60" t="s">
        <v>66</v>
      </c>
      <c r="B152" s="61" t="s">
        <v>22</v>
      </c>
      <c r="C152" s="62">
        <v>45574</v>
      </c>
      <c r="D152" s="61" t="s">
        <v>23</v>
      </c>
      <c r="E152" s="61" t="s">
        <v>15</v>
      </c>
      <c r="F152" s="61"/>
      <c r="G152" s="63">
        <v>4929</v>
      </c>
      <c r="H152" s="63">
        <v>182</v>
      </c>
      <c r="I152" s="63">
        <v>95</v>
      </c>
      <c r="J152" s="63">
        <v>32181</v>
      </c>
      <c r="K152" s="63">
        <v>31084</v>
      </c>
      <c r="L152" s="63">
        <v>289</v>
      </c>
      <c r="M152" s="61" t="s">
        <v>19</v>
      </c>
      <c r="N152" s="61" t="s">
        <v>355</v>
      </c>
      <c r="O152" s="61" t="s">
        <v>16</v>
      </c>
      <c r="P152" s="64">
        <f t="shared" si="4"/>
        <v>0.16177247444144061</v>
      </c>
      <c r="Q152" s="4">
        <f t="shared" si="5"/>
        <v>5206</v>
      </c>
    </row>
    <row r="153" spans="1:17" ht="15.75" customHeight="1" x14ac:dyDescent="0.3">
      <c r="A153" s="55" t="s">
        <v>247</v>
      </c>
      <c r="B153" s="56" t="s">
        <v>22</v>
      </c>
      <c r="C153" s="57">
        <v>45574</v>
      </c>
      <c r="D153" s="56" t="s">
        <v>14</v>
      </c>
      <c r="E153" s="56" t="s">
        <v>26</v>
      </c>
      <c r="F153" s="56"/>
      <c r="G153" s="58">
        <v>2659</v>
      </c>
      <c r="H153" s="58">
        <v>167</v>
      </c>
      <c r="I153" s="58">
        <v>73</v>
      </c>
      <c r="J153" s="58">
        <v>23090</v>
      </c>
      <c r="K153" s="58">
        <v>25872</v>
      </c>
      <c r="L153" s="58">
        <v>293</v>
      </c>
      <c r="M153" s="56" t="s">
        <v>39</v>
      </c>
      <c r="N153" s="56"/>
      <c r="O153" s="56" t="s">
        <v>20</v>
      </c>
      <c r="P153" s="59">
        <f t="shared" si="4"/>
        <v>0.12555218709398008</v>
      </c>
      <c r="Q153" s="4">
        <f t="shared" si="5"/>
        <v>2899</v>
      </c>
    </row>
    <row r="154" spans="1:17" ht="15.75" customHeight="1" x14ac:dyDescent="0.3">
      <c r="A154" s="55" t="s">
        <v>58</v>
      </c>
      <c r="B154" s="56" t="s">
        <v>28</v>
      </c>
      <c r="C154" s="57">
        <v>45575</v>
      </c>
      <c r="D154" s="56" t="s">
        <v>51</v>
      </c>
      <c r="E154" s="56" t="s">
        <v>43</v>
      </c>
      <c r="F154" s="56"/>
      <c r="G154" s="58">
        <v>4013</v>
      </c>
      <c r="H154" s="58">
        <v>320</v>
      </c>
      <c r="I154" s="58">
        <v>92</v>
      </c>
      <c r="J154" s="58">
        <v>54605</v>
      </c>
      <c r="K154" s="58">
        <v>60169</v>
      </c>
      <c r="L154" s="58">
        <v>232</v>
      </c>
      <c r="M154" s="56" t="s">
        <v>19</v>
      </c>
      <c r="N154" s="56" t="s">
        <v>39</v>
      </c>
      <c r="O154" s="56" t="s">
        <v>52</v>
      </c>
      <c r="P154" s="59">
        <f t="shared" si="4"/>
        <v>8.1036535115831879E-2</v>
      </c>
      <c r="Q154" s="4">
        <f t="shared" si="5"/>
        <v>4425</v>
      </c>
    </row>
    <row r="155" spans="1:17" ht="15.75" customHeight="1" x14ac:dyDescent="0.3">
      <c r="A155" s="60" t="s">
        <v>105</v>
      </c>
      <c r="B155" s="61" t="s">
        <v>13</v>
      </c>
      <c r="C155" s="62">
        <v>45576</v>
      </c>
      <c r="D155" s="61" t="s">
        <v>14</v>
      </c>
      <c r="E155" s="61" t="s">
        <v>43</v>
      </c>
      <c r="F155" s="61"/>
      <c r="G155" s="63">
        <v>1360</v>
      </c>
      <c r="H155" s="63">
        <v>249</v>
      </c>
      <c r="I155" s="63">
        <v>52</v>
      </c>
      <c r="J155" s="63">
        <v>20368</v>
      </c>
      <c r="K155" s="63">
        <v>42152</v>
      </c>
      <c r="L155" s="63">
        <v>193</v>
      </c>
      <c r="M155" s="61" t="s">
        <v>19</v>
      </c>
      <c r="N155" s="61"/>
      <c r="O155" s="61" t="s">
        <v>20</v>
      </c>
      <c r="P155" s="64">
        <f t="shared" si="4"/>
        <v>8.1549489395129612E-2</v>
      </c>
      <c r="Q155" s="4">
        <f t="shared" si="5"/>
        <v>1661</v>
      </c>
    </row>
    <row r="156" spans="1:17" ht="15.75" customHeight="1" x14ac:dyDescent="0.3">
      <c r="A156" s="60" t="s">
        <v>134</v>
      </c>
      <c r="B156" s="61" t="s">
        <v>22</v>
      </c>
      <c r="C156" s="62">
        <v>45577</v>
      </c>
      <c r="D156" s="61" t="s">
        <v>14</v>
      </c>
      <c r="E156" s="61" t="s">
        <v>32</v>
      </c>
      <c r="F156" s="61"/>
      <c r="G156" s="63">
        <v>3169</v>
      </c>
      <c r="H156" s="63">
        <v>386</v>
      </c>
      <c r="I156" s="63">
        <v>175</v>
      </c>
      <c r="J156" s="63">
        <v>45012</v>
      </c>
      <c r="K156" s="63">
        <v>38508</v>
      </c>
      <c r="L156" s="63">
        <v>218</v>
      </c>
      <c r="M156" s="61" t="s">
        <v>36</v>
      </c>
      <c r="N156" s="61"/>
      <c r="O156" s="61" t="s">
        <v>16</v>
      </c>
      <c r="P156" s="64">
        <f t="shared" si="4"/>
        <v>8.2866791077934779E-2</v>
      </c>
      <c r="Q156" s="4">
        <f t="shared" si="5"/>
        <v>3730</v>
      </c>
    </row>
    <row r="157" spans="1:17" ht="15.75" customHeight="1" x14ac:dyDescent="0.3">
      <c r="A157" s="60" t="s">
        <v>251</v>
      </c>
      <c r="B157" s="61" t="s">
        <v>22</v>
      </c>
      <c r="C157" s="62">
        <v>45579</v>
      </c>
      <c r="D157" s="61" t="s">
        <v>23</v>
      </c>
      <c r="E157" s="61" t="s">
        <v>18</v>
      </c>
      <c r="F157" s="61"/>
      <c r="G157" s="63">
        <v>4303</v>
      </c>
      <c r="H157" s="63">
        <v>306</v>
      </c>
      <c r="I157" s="63">
        <v>302</v>
      </c>
      <c r="J157" s="63">
        <v>39575</v>
      </c>
      <c r="K157" s="63">
        <v>33762</v>
      </c>
      <c r="L157" s="63">
        <v>265</v>
      </c>
      <c r="M157" s="61" t="s">
        <v>19</v>
      </c>
      <c r="N157" s="61" t="s">
        <v>355</v>
      </c>
      <c r="O157" s="61" t="s">
        <v>16</v>
      </c>
      <c r="P157" s="64">
        <f t="shared" si="4"/>
        <v>0.12409349336702463</v>
      </c>
      <c r="Q157" s="4">
        <f t="shared" si="5"/>
        <v>4911</v>
      </c>
    </row>
    <row r="158" spans="1:17" ht="15.75" customHeight="1" x14ac:dyDescent="0.3">
      <c r="A158" s="60" t="s">
        <v>132</v>
      </c>
      <c r="B158" s="61" t="s">
        <v>22</v>
      </c>
      <c r="C158" s="62">
        <v>45580</v>
      </c>
      <c r="D158" s="61" t="s">
        <v>14</v>
      </c>
      <c r="E158" s="61" t="s">
        <v>26</v>
      </c>
      <c r="F158" s="61"/>
      <c r="G158" s="63">
        <v>1984</v>
      </c>
      <c r="H158" s="63">
        <v>481</v>
      </c>
      <c r="I158" s="63">
        <v>356</v>
      </c>
      <c r="J158" s="63">
        <v>40681</v>
      </c>
      <c r="K158" s="63">
        <v>63111</v>
      </c>
      <c r="L158" s="63">
        <v>258</v>
      </c>
      <c r="M158" s="61" t="s">
        <v>36</v>
      </c>
      <c r="N158" s="61"/>
      <c r="O158" s="61" t="s">
        <v>16</v>
      </c>
      <c r="P158" s="64">
        <f t="shared" si="4"/>
        <v>6.934441139598338E-2</v>
      </c>
      <c r="Q158" s="4">
        <f t="shared" si="5"/>
        <v>2821</v>
      </c>
    </row>
    <row r="159" spans="1:17" ht="15.75" customHeight="1" x14ac:dyDescent="0.3">
      <c r="A159" s="60" t="s">
        <v>57</v>
      </c>
      <c r="B159" s="61" t="s">
        <v>22</v>
      </c>
      <c r="C159" s="62">
        <v>45583</v>
      </c>
      <c r="D159" s="61" t="s">
        <v>14</v>
      </c>
      <c r="E159" s="61" t="s">
        <v>24</v>
      </c>
      <c r="F159" s="61"/>
      <c r="G159" s="63">
        <v>2607</v>
      </c>
      <c r="H159" s="63">
        <v>379</v>
      </c>
      <c r="I159" s="63">
        <v>180</v>
      </c>
      <c r="J159" s="63">
        <v>28712</v>
      </c>
      <c r="K159" s="63">
        <v>61620</v>
      </c>
      <c r="L159" s="63">
        <v>174</v>
      </c>
      <c r="M159" s="61" t="s">
        <v>39</v>
      </c>
      <c r="N159" s="61"/>
      <c r="O159" s="61" t="s">
        <v>20</v>
      </c>
      <c r="P159" s="64">
        <f t="shared" si="4"/>
        <v>0.11026748397882419</v>
      </c>
      <c r="Q159" s="4">
        <f t="shared" si="5"/>
        <v>3166</v>
      </c>
    </row>
    <row r="160" spans="1:17" ht="15.75" customHeight="1" x14ac:dyDescent="0.3">
      <c r="A160" s="60" t="s">
        <v>266</v>
      </c>
      <c r="B160" s="61" t="s">
        <v>22</v>
      </c>
      <c r="C160" s="62">
        <v>45585</v>
      </c>
      <c r="D160" s="61" t="s">
        <v>14</v>
      </c>
      <c r="E160" s="61" t="s">
        <v>43</v>
      </c>
      <c r="F160" s="61"/>
      <c r="G160" s="63">
        <v>2752</v>
      </c>
      <c r="H160" s="63">
        <v>309</v>
      </c>
      <c r="I160" s="63">
        <v>91</v>
      </c>
      <c r="J160" s="63">
        <v>39038</v>
      </c>
      <c r="K160" s="63">
        <v>28095</v>
      </c>
      <c r="L160" s="63">
        <v>277</v>
      </c>
      <c r="M160" s="61" t="s">
        <v>36</v>
      </c>
      <c r="N160" s="61"/>
      <c r="O160" s="61" t="s">
        <v>16</v>
      </c>
      <c r="P160" s="64">
        <f t="shared" si="4"/>
        <v>8.0741841282852611E-2</v>
      </c>
      <c r="Q160" s="4">
        <f t="shared" si="5"/>
        <v>3152</v>
      </c>
    </row>
    <row r="161" spans="1:17" ht="15.75" customHeight="1" x14ac:dyDescent="0.3">
      <c r="A161" s="55" t="s">
        <v>317</v>
      </c>
      <c r="B161" s="56" t="s">
        <v>13</v>
      </c>
      <c r="C161" s="57">
        <v>45589</v>
      </c>
      <c r="D161" s="56" t="s">
        <v>23</v>
      </c>
      <c r="E161" s="56" t="s">
        <v>35</v>
      </c>
      <c r="F161" s="56"/>
      <c r="G161" s="58">
        <v>1914</v>
      </c>
      <c r="H161" s="58">
        <v>255</v>
      </c>
      <c r="I161" s="58">
        <v>156</v>
      </c>
      <c r="J161" s="58">
        <v>27660</v>
      </c>
      <c r="K161" s="58">
        <v>47776</v>
      </c>
      <c r="L161" s="58">
        <v>111</v>
      </c>
      <c r="M161" s="56" t="s">
        <v>36</v>
      </c>
      <c r="N161" s="56"/>
      <c r="O161" s="56" t="s">
        <v>49</v>
      </c>
      <c r="P161" s="59">
        <f t="shared" si="4"/>
        <v>8.4056399132321047E-2</v>
      </c>
      <c r="Q161" s="4">
        <f t="shared" si="5"/>
        <v>2325</v>
      </c>
    </row>
    <row r="162" spans="1:17" ht="15.75" customHeight="1" x14ac:dyDescent="0.3">
      <c r="A162" s="60" t="s">
        <v>135</v>
      </c>
      <c r="B162" s="61" t="s">
        <v>22</v>
      </c>
      <c r="C162" s="62">
        <v>45591</v>
      </c>
      <c r="D162" s="61" t="s">
        <v>14</v>
      </c>
      <c r="E162" s="61" t="s">
        <v>15</v>
      </c>
      <c r="F162" s="61"/>
      <c r="G162" s="63">
        <v>3036</v>
      </c>
      <c r="H162" s="63">
        <v>293</v>
      </c>
      <c r="I162" s="63">
        <v>115</v>
      </c>
      <c r="J162" s="63">
        <v>23776</v>
      </c>
      <c r="K162" s="63">
        <v>46386</v>
      </c>
      <c r="L162" s="63">
        <v>282</v>
      </c>
      <c r="M162" s="61" t="s">
        <v>36</v>
      </c>
      <c r="N162" s="61"/>
      <c r="O162" s="61" t="s">
        <v>16</v>
      </c>
      <c r="P162" s="64">
        <f t="shared" si="4"/>
        <v>0.14485195154777927</v>
      </c>
      <c r="Q162" s="4">
        <f t="shared" si="5"/>
        <v>3444</v>
      </c>
    </row>
    <row r="163" spans="1:17" ht="15.75" customHeight="1" x14ac:dyDescent="0.3">
      <c r="A163" s="55" t="s">
        <v>285</v>
      </c>
      <c r="B163" s="56" t="s">
        <v>28</v>
      </c>
      <c r="C163" s="57">
        <v>45591</v>
      </c>
      <c r="D163" s="56" t="s">
        <v>14</v>
      </c>
      <c r="E163" s="56" t="s">
        <v>24</v>
      </c>
      <c r="F163" s="56"/>
      <c r="G163" s="58">
        <v>4676</v>
      </c>
      <c r="H163" s="58">
        <v>211</v>
      </c>
      <c r="I163" s="58">
        <v>55</v>
      </c>
      <c r="J163" s="58">
        <v>45917</v>
      </c>
      <c r="K163" s="58">
        <v>73503</v>
      </c>
      <c r="L163" s="58">
        <v>248</v>
      </c>
      <c r="M163" s="56" t="s">
        <v>19</v>
      </c>
      <c r="N163" s="56" t="s">
        <v>354</v>
      </c>
      <c r="O163" s="56" t="s">
        <v>20</v>
      </c>
      <c r="P163" s="59">
        <f t="shared" si="4"/>
        <v>0.10762898272970794</v>
      </c>
      <c r="Q163" s="4">
        <f t="shared" si="5"/>
        <v>4942</v>
      </c>
    </row>
    <row r="164" spans="1:17" ht="15.75" customHeight="1" x14ac:dyDescent="0.3">
      <c r="A164" s="60" t="s">
        <v>325</v>
      </c>
      <c r="B164" s="61" t="s">
        <v>22</v>
      </c>
      <c r="C164" s="62">
        <v>45599</v>
      </c>
      <c r="D164" s="61" t="s">
        <v>23</v>
      </c>
      <c r="E164" s="61" t="s">
        <v>18</v>
      </c>
      <c r="F164" s="61"/>
      <c r="G164" s="63">
        <v>3061</v>
      </c>
      <c r="H164" s="63">
        <v>320</v>
      </c>
      <c r="I164" s="63">
        <v>76</v>
      </c>
      <c r="J164" s="63">
        <v>26640</v>
      </c>
      <c r="K164" s="63">
        <v>24306</v>
      </c>
      <c r="L164" s="63">
        <v>112</v>
      </c>
      <c r="M164" s="61" t="s">
        <v>355</v>
      </c>
      <c r="N164" s="61" t="s">
        <v>36</v>
      </c>
      <c r="O164" s="61" t="s">
        <v>16</v>
      </c>
      <c r="P164" s="64">
        <f t="shared" si="4"/>
        <v>0.12976726726726726</v>
      </c>
      <c r="Q164" s="4">
        <f t="shared" si="5"/>
        <v>3457</v>
      </c>
    </row>
    <row r="165" spans="1:17" ht="15.75" customHeight="1" x14ac:dyDescent="0.3">
      <c r="A165" s="55" t="s">
        <v>95</v>
      </c>
      <c r="B165" s="56" t="s">
        <v>22</v>
      </c>
      <c r="C165" s="57">
        <v>45599</v>
      </c>
      <c r="D165" s="56" t="s">
        <v>23</v>
      </c>
      <c r="E165" s="56" t="s">
        <v>26</v>
      </c>
      <c r="F165" s="56"/>
      <c r="G165" s="58">
        <v>1959</v>
      </c>
      <c r="H165" s="58">
        <v>316</v>
      </c>
      <c r="I165" s="58">
        <v>82</v>
      </c>
      <c r="J165" s="58">
        <v>54036</v>
      </c>
      <c r="K165" s="58">
        <v>69015</v>
      </c>
      <c r="L165" s="58">
        <v>182</v>
      </c>
      <c r="M165" s="56" t="s">
        <v>355</v>
      </c>
      <c r="N165" s="56" t="s">
        <v>36</v>
      </c>
      <c r="O165" s="56" t="s">
        <v>16</v>
      </c>
      <c r="P165" s="59">
        <f t="shared" si="4"/>
        <v>4.3619068768968837E-2</v>
      </c>
      <c r="Q165" s="4">
        <f t="shared" si="5"/>
        <v>2357</v>
      </c>
    </row>
    <row r="166" spans="1:17" ht="15.75" customHeight="1" x14ac:dyDescent="0.3">
      <c r="A166" s="55" t="s">
        <v>158</v>
      </c>
      <c r="B166" s="56" t="s">
        <v>22</v>
      </c>
      <c r="C166" s="57">
        <v>45602</v>
      </c>
      <c r="D166" s="56" t="s">
        <v>14</v>
      </c>
      <c r="E166" s="56" t="s">
        <v>43</v>
      </c>
      <c r="F166" s="56"/>
      <c r="G166" s="58">
        <v>2956</v>
      </c>
      <c r="H166" s="58">
        <v>381</v>
      </c>
      <c r="I166" s="58">
        <v>345</v>
      </c>
      <c r="J166" s="58">
        <v>33347</v>
      </c>
      <c r="K166" s="58">
        <v>22558</v>
      </c>
      <c r="L166" s="58">
        <v>173</v>
      </c>
      <c r="M166" s="56" t="s">
        <v>36</v>
      </c>
      <c r="N166" s="56"/>
      <c r="O166" s="56" t="s">
        <v>16</v>
      </c>
      <c r="P166" s="59">
        <f t="shared" si="4"/>
        <v>0.11041472996071611</v>
      </c>
      <c r="Q166" s="4">
        <f t="shared" si="5"/>
        <v>3682</v>
      </c>
    </row>
    <row r="167" spans="1:17" ht="15.75" customHeight="1" x14ac:dyDescent="0.3">
      <c r="A167" s="60" t="s">
        <v>305</v>
      </c>
      <c r="B167" s="61" t="s">
        <v>22</v>
      </c>
      <c r="C167" s="62">
        <v>45603</v>
      </c>
      <c r="D167" s="61" t="s">
        <v>14</v>
      </c>
      <c r="E167" s="61" t="s">
        <v>18</v>
      </c>
      <c r="F167" s="61"/>
      <c r="G167" s="63">
        <v>2229</v>
      </c>
      <c r="H167" s="63">
        <v>395</v>
      </c>
      <c r="I167" s="63">
        <v>328</v>
      </c>
      <c r="J167" s="63">
        <v>56921</v>
      </c>
      <c r="K167" s="63">
        <v>37176</v>
      </c>
      <c r="L167" s="63">
        <v>126</v>
      </c>
      <c r="M167" s="61" t="s">
        <v>39</v>
      </c>
      <c r="N167" s="61"/>
      <c r="O167" s="61" t="s">
        <v>20</v>
      </c>
      <c r="P167" s="64">
        <f t="shared" si="4"/>
        <v>5.1861351697967357E-2</v>
      </c>
      <c r="Q167" s="4">
        <f t="shared" si="5"/>
        <v>2952</v>
      </c>
    </row>
    <row r="168" spans="1:17" ht="15.75" customHeight="1" x14ac:dyDescent="0.3">
      <c r="A168" s="60" t="s">
        <v>54</v>
      </c>
      <c r="B168" s="61" t="s">
        <v>13</v>
      </c>
      <c r="C168" s="62">
        <v>45603</v>
      </c>
      <c r="D168" s="61" t="s">
        <v>23</v>
      </c>
      <c r="E168" s="61" t="s">
        <v>26</v>
      </c>
      <c r="F168" s="61"/>
      <c r="G168" s="63">
        <v>1678</v>
      </c>
      <c r="H168" s="63">
        <v>423</v>
      </c>
      <c r="I168" s="63">
        <v>323</v>
      </c>
      <c r="J168" s="63">
        <v>55668</v>
      </c>
      <c r="K168" s="63">
        <v>37945</v>
      </c>
      <c r="L168" s="63">
        <v>230</v>
      </c>
      <c r="M168" s="61" t="s">
        <v>36</v>
      </c>
      <c r="N168" s="61"/>
      <c r="O168" s="61" t="s">
        <v>49</v>
      </c>
      <c r="P168" s="64">
        <f t="shared" si="4"/>
        <v>4.3543867212761371E-2</v>
      </c>
      <c r="Q168" s="4">
        <f t="shared" si="5"/>
        <v>2424</v>
      </c>
    </row>
    <row r="169" spans="1:17" ht="15.75" customHeight="1" x14ac:dyDescent="0.3">
      <c r="A169" s="60" t="s">
        <v>300</v>
      </c>
      <c r="B169" s="61" t="s">
        <v>28</v>
      </c>
      <c r="C169" s="62">
        <v>45604</v>
      </c>
      <c r="D169" s="61" t="s">
        <v>14</v>
      </c>
      <c r="E169" s="61" t="s">
        <v>35</v>
      </c>
      <c r="F169" s="61"/>
      <c r="G169" s="63">
        <v>2471</v>
      </c>
      <c r="H169" s="63">
        <v>166</v>
      </c>
      <c r="I169" s="63">
        <v>320</v>
      </c>
      <c r="J169" s="63">
        <v>48254</v>
      </c>
      <c r="K169" s="63">
        <v>46900</v>
      </c>
      <c r="L169" s="63">
        <v>111</v>
      </c>
      <c r="M169" s="61" t="s">
        <v>19</v>
      </c>
      <c r="N169" s="61" t="s">
        <v>354</v>
      </c>
      <c r="O169" s="61" t="s">
        <v>20</v>
      </c>
      <c r="P169" s="64">
        <f t="shared" si="4"/>
        <v>6.1279893894806647E-2</v>
      </c>
      <c r="Q169" s="4">
        <f t="shared" si="5"/>
        <v>2957</v>
      </c>
    </row>
    <row r="170" spans="1:17" ht="15.75" customHeight="1" x14ac:dyDescent="0.3">
      <c r="A170" s="55" t="s">
        <v>210</v>
      </c>
      <c r="B170" s="56" t="s">
        <v>22</v>
      </c>
      <c r="C170" s="57">
        <v>45606</v>
      </c>
      <c r="D170" s="56" t="s">
        <v>14</v>
      </c>
      <c r="E170" s="56" t="s">
        <v>18</v>
      </c>
      <c r="F170" s="56"/>
      <c r="G170" s="58">
        <v>4823</v>
      </c>
      <c r="H170" s="58">
        <v>489</v>
      </c>
      <c r="I170" s="58">
        <v>302</v>
      </c>
      <c r="J170" s="58">
        <v>32470</v>
      </c>
      <c r="K170" s="58">
        <v>31861</v>
      </c>
      <c r="L170" s="58">
        <v>178</v>
      </c>
      <c r="M170" s="56" t="s">
        <v>39</v>
      </c>
      <c r="N170" s="56"/>
      <c r="O170" s="56" t="s">
        <v>20</v>
      </c>
      <c r="P170" s="59">
        <f t="shared" si="4"/>
        <v>0.1728980597474592</v>
      </c>
      <c r="Q170" s="4">
        <f t="shared" si="5"/>
        <v>5614</v>
      </c>
    </row>
    <row r="171" spans="1:17" ht="15.75" customHeight="1" x14ac:dyDescent="0.3">
      <c r="A171" s="60" t="s">
        <v>127</v>
      </c>
      <c r="B171" s="61" t="s">
        <v>22</v>
      </c>
      <c r="C171" s="62">
        <v>45609</v>
      </c>
      <c r="D171" s="61" t="s">
        <v>23</v>
      </c>
      <c r="E171" s="61" t="s">
        <v>35</v>
      </c>
      <c r="F171" s="61"/>
      <c r="G171" s="63">
        <v>4628</v>
      </c>
      <c r="H171" s="63">
        <v>257</v>
      </c>
      <c r="I171" s="63">
        <v>397</v>
      </c>
      <c r="J171" s="63">
        <v>36686</v>
      </c>
      <c r="K171" s="63">
        <v>54683</v>
      </c>
      <c r="L171" s="63">
        <v>98</v>
      </c>
      <c r="M171" s="61" t="s">
        <v>39</v>
      </c>
      <c r="N171" s="61" t="s">
        <v>36</v>
      </c>
      <c r="O171" s="61" t="s">
        <v>16</v>
      </c>
      <c r="P171" s="64">
        <f t="shared" si="4"/>
        <v>0.1439786294499264</v>
      </c>
      <c r="Q171" s="4">
        <f t="shared" si="5"/>
        <v>5282</v>
      </c>
    </row>
    <row r="172" spans="1:17" ht="15.75" customHeight="1" x14ac:dyDescent="0.3">
      <c r="A172" s="60" t="s">
        <v>303</v>
      </c>
      <c r="B172" s="61" t="s">
        <v>22</v>
      </c>
      <c r="C172" s="62">
        <v>45609</v>
      </c>
      <c r="D172" s="61" t="s">
        <v>23</v>
      </c>
      <c r="E172" s="61" t="s">
        <v>24</v>
      </c>
      <c r="F172" s="61"/>
      <c r="G172" s="63">
        <v>1409</v>
      </c>
      <c r="H172" s="63">
        <v>466</v>
      </c>
      <c r="I172" s="63">
        <v>105</v>
      </c>
      <c r="J172" s="63">
        <v>58923</v>
      </c>
      <c r="K172" s="63">
        <v>38753</v>
      </c>
      <c r="L172" s="63">
        <v>265</v>
      </c>
      <c r="M172" s="61" t="s">
        <v>19</v>
      </c>
      <c r="N172" s="61" t="s">
        <v>355</v>
      </c>
      <c r="O172" s="61" t="s">
        <v>16</v>
      </c>
      <c r="P172" s="64">
        <f t="shared" si="4"/>
        <v>3.3603177027646251E-2</v>
      </c>
      <c r="Q172" s="4">
        <f t="shared" si="5"/>
        <v>1980</v>
      </c>
    </row>
    <row r="173" spans="1:17" ht="15.75" customHeight="1" x14ac:dyDescent="0.3">
      <c r="A173" s="55" t="s">
        <v>195</v>
      </c>
      <c r="B173" s="56" t="s">
        <v>13</v>
      </c>
      <c r="C173" s="57">
        <v>45610</v>
      </c>
      <c r="D173" s="56" t="s">
        <v>14</v>
      </c>
      <c r="E173" s="56" t="s">
        <v>29</v>
      </c>
      <c r="F173" s="56"/>
      <c r="G173" s="58">
        <v>2422</v>
      </c>
      <c r="H173" s="58">
        <v>318</v>
      </c>
      <c r="I173" s="58">
        <v>118</v>
      </c>
      <c r="J173" s="58">
        <v>25386</v>
      </c>
      <c r="K173" s="58">
        <v>20873</v>
      </c>
      <c r="L173" s="58">
        <v>100</v>
      </c>
      <c r="M173" s="56" t="s">
        <v>39</v>
      </c>
      <c r="N173" s="56" t="s">
        <v>36</v>
      </c>
      <c r="O173" s="56" t="s">
        <v>16</v>
      </c>
      <c r="P173" s="59">
        <f t="shared" si="4"/>
        <v>0.11258173796580792</v>
      </c>
      <c r="Q173" s="4">
        <f t="shared" si="5"/>
        <v>2858</v>
      </c>
    </row>
    <row r="174" spans="1:17" ht="15.75" customHeight="1" x14ac:dyDescent="0.3">
      <c r="A174" s="55" t="s">
        <v>294</v>
      </c>
      <c r="B174" s="56" t="s">
        <v>22</v>
      </c>
      <c r="C174" s="57">
        <v>45612</v>
      </c>
      <c r="D174" s="56" t="s">
        <v>14</v>
      </c>
      <c r="E174" s="56" t="s">
        <v>43</v>
      </c>
      <c r="F174" s="56"/>
      <c r="G174" s="58">
        <v>2972</v>
      </c>
      <c r="H174" s="58">
        <v>263</v>
      </c>
      <c r="I174" s="58">
        <v>308</v>
      </c>
      <c r="J174" s="58">
        <v>51740</v>
      </c>
      <c r="K174" s="58">
        <v>28214</v>
      </c>
      <c r="L174" s="58">
        <v>190</v>
      </c>
      <c r="M174" s="56" t="s">
        <v>39</v>
      </c>
      <c r="N174" s="56"/>
      <c r="O174" s="56" t="s">
        <v>20</v>
      </c>
      <c r="P174" s="59">
        <f t="shared" si="4"/>
        <v>6.8477000386548123E-2</v>
      </c>
      <c r="Q174" s="4">
        <f t="shared" si="5"/>
        <v>3543</v>
      </c>
    </row>
    <row r="175" spans="1:17" ht="15.75" customHeight="1" x14ac:dyDescent="0.3">
      <c r="A175" s="55" t="s">
        <v>330</v>
      </c>
      <c r="B175" s="56" t="s">
        <v>22</v>
      </c>
      <c r="C175" s="57">
        <v>45612</v>
      </c>
      <c r="D175" s="56" t="s">
        <v>14</v>
      </c>
      <c r="E175" s="56" t="s">
        <v>18</v>
      </c>
      <c r="F175" s="56"/>
      <c r="G175" s="58">
        <v>2901</v>
      </c>
      <c r="H175" s="58">
        <v>108</v>
      </c>
      <c r="I175" s="58">
        <v>86</v>
      </c>
      <c r="J175" s="58">
        <v>51777</v>
      </c>
      <c r="K175" s="58">
        <v>23773</v>
      </c>
      <c r="L175" s="58">
        <v>160</v>
      </c>
      <c r="M175" s="56" t="s">
        <v>39</v>
      </c>
      <c r="N175" s="56"/>
      <c r="O175" s="56" t="s">
        <v>20</v>
      </c>
      <c r="P175" s="59">
        <f t="shared" si="4"/>
        <v>5.9775576027966085E-2</v>
      </c>
      <c r="Q175" s="4">
        <f t="shared" si="5"/>
        <v>3095</v>
      </c>
    </row>
    <row r="176" spans="1:17" ht="15.75" customHeight="1" x14ac:dyDescent="0.3">
      <c r="A176" s="60" t="s">
        <v>169</v>
      </c>
      <c r="B176" s="61" t="s">
        <v>22</v>
      </c>
      <c r="C176" s="62">
        <v>45615</v>
      </c>
      <c r="D176" s="61" t="s">
        <v>14</v>
      </c>
      <c r="E176" s="61" t="s">
        <v>35</v>
      </c>
      <c r="F176" s="61"/>
      <c r="G176" s="63">
        <v>3728</v>
      </c>
      <c r="H176" s="63">
        <v>271</v>
      </c>
      <c r="I176" s="63">
        <v>275</v>
      </c>
      <c r="J176" s="63">
        <v>22827</v>
      </c>
      <c r="K176" s="63">
        <v>37034</v>
      </c>
      <c r="L176" s="63">
        <v>199</v>
      </c>
      <c r="M176" s="61" t="s">
        <v>36</v>
      </c>
      <c r="N176" s="61"/>
      <c r="O176" s="61" t="s">
        <v>16</v>
      </c>
      <c r="P176" s="64">
        <f t="shared" si="4"/>
        <v>0.18723441538528934</v>
      </c>
      <c r="Q176" s="4">
        <f t="shared" si="5"/>
        <v>4274</v>
      </c>
    </row>
    <row r="177" spans="1:17" ht="15.75" customHeight="1" x14ac:dyDescent="0.3">
      <c r="A177" s="60" t="s">
        <v>212</v>
      </c>
      <c r="B177" s="61" t="s">
        <v>22</v>
      </c>
      <c r="C177" s="62">
        <v>45615</v>
      </c>
      <c r="D177" s="61" t="s">
        <v>14</v>
      </c>
      <c r="E177" s="61" t="s">
        <v>18</v>
      </c>
      <c r="F177" s="61"/>
      <c r="G177" s="63">
        <v>2387</v>
      </c>
      <c r="H177" s="63">
        <v>353</v>
      </c>
      <c r="I177" s="63">
        <v>78</v>
      </c>
      <c r="J177" s="63">
        <v>39745</v>
      </c>
      <c r="K177" s="63">
        <v>69226</v>
      </c>
      <c r="L177" s="63">
        <v>208</v>
      </c>
      <c r="M177" s="61" t="s">
        <v>39</v>
      </c>
      <c r="N177" s="61"/>
      <c r="O177" s="61" t="s">
        <v>20</v>
      </c>
      <c r="P177" s="64">
        <f t="shared" si="4"/>
        <v>7.090200025160398E-2</v>
      </c>
      <c r="Q177" s="4">
        <f t="shared" si="5"/>
        <v>2818</v>
      </c>
    </row>
    <row r="178" spans="1:17" ht="15.75" customHeight="1" x14ac:dyDescent="0.3">
      <c r="A178" s="60" t="s">
        <v>187</v>
      </c>
      <c r="B178" s="61" t="s">
        <v>13</v>
      </c>
      <c r="C178" s="62">
        <v>45615</v>
      </c>
      <c r="D178" s="61" t="s">
        <v>14</v>
      </c>
      <c r="E178" s="61" t="s">
        <v>360</v>
      </c>
      <c r="F178" s="61" t="s">
        <v>361</v>
      </c>
      <c r="G178" s="63">
        <v>2525</v>
      </c>
      <c r="H178" s="63">
        <v>272</v>
      </c>
      <c r="I178" s="63">
        <v>294</v>
      </c>
      <c r="J178" s="63">
        <v>51875</v>
      </c>
      <c r="K178" s="63">
        <v>24732</v>
      </c>
      <c r="L178" s="63">
        <v>92</v>
      </c>
      <c r="M178" s="61" t="s">
        <v>19</v>
      </c>
      <c r="N178" s="61"/>
      <c r="O178" s="61" t="s">
        <v>20</v>
      </c>
      <c r="P178" s="64">
        <f t="shared" si="4"/>
        <v>5.9585542168674697E-2</v>
      </c>
      <c r="Q178" s="4">
        <f t="shared" si="5"/>
        <v>3091</v>
      </c>
    </row>
    <row r="179" spans="1:17" ht="15.75" customHeight="1" x14ac:dyDescent="0.3">
      <c r="A179" s="60" t="s">
        <v>142</v>
      </c>
      <c r="B179" s="61" t="s">
        <v>13</v>
      </c>
      <c r="C179" s="62">
        <v>45617</v>
      </c>
      <c r="D179" s="61" t="s">
        <v>14</v>
      </c>
      <c r="E179" s="61" t="s">
        <v>29</v>
      </c>
      <c r="F179" s="61"/>
      <c r="G179" s="63">
        <v>4581</v>
      </c>
      <c r="H179" s="63">
        <v>181</v>
      </c>
      <c r="I179" s="63">
        <v>112</v>
      </c>
      <c r="J179" s="63">
        <v>35221</v>
      </c>
      <c r="K179" s="63">
        <v>28797</v>
      </c>
      <c r="L179" s="63">
        <v>164</v>
      </c>
      <c r="M179" s="61" t="s">
        <v>39</v>
      </c>
      <c r="N179" s="61" t="s">
        <v>36</v>
      </c>
      <c r="O179" s="61" t="s">
        <v>16</v>
      </c>
      <c r="P179" s="64">
        <f t="shared" si="4"/>
        <v>0.13838335084182732</v>
      </c>
      <c r="Q179" s="4">
        <f t="shared" si="5"/>
        <v>4874</v>
      </c>
    </row>
    <row r="180" spans="1:17" ht="15.75" customHeight="1" x14ac:dyDescent="0.3">
      <c r="A180" s="60" t="s">
        <v>203</v>
      </c>
      <c r="B180" s="61" t="s">
        <v>22</v>
      </c>
      <c r="C180" s="62">
        <v>45619</v>
      </c>
      <c r="D180" s="61" t="s">
        <v>14</v>
      </c>
      <c r="E180" s="61" t="s">
        <v>24</v>
      </c>
      <c r="F180" s="61"/>
      <c r="G180" s="63">
        <v>4318</v>
      </c>
      <c r="H180" s="63">
        <v>371</v>
      </c>
      <c r="I180" s="63">
        <v>329</v>
      </c>
      <c r="J180" s="63">
        <v>32347</v>
      </c>
      <c r="K180" s="63">
        <v>68956</v>
      </c>
      <c r="L180" s="63">
        <v>259</v>
      </c>
      <c r="M180" s="61" t="s">
        <v>39</v>
      </c>
      <c r="N180" s="61"/>
      <c r="O180" s="61" t="s">
        <v>20</v>
      </c>
      <c r="P180" s="64">
        <f t="shared" si="4"/>
        <v>0.15513030574705536</v>
      </c>
      <c r="Q180" s="4">
        <f t="shared" si="5"/>
        <v>5018</v>
      </c>
    </row>
    <row r="181" spans="1:17" ht="15.75" customHeight="1" x14ac:dyDescent="0.3">
      <c r="A181" s="60" t="s">
        <v>72</v>
      </c>
      <c r="B181" s="61" t="s">
        <v>13</v>
      </c>
      <c r="C181" s="62">
        <v>45621</v>
      </c>
      <c r="D181" s="61" t="s">
        <v>14</v>
      </c>
      <c r="E181" s="61" t="s">
        <v>43</v>
      </c>
      <c r="F181" s="61"/>
      <c r="G181" s="63">
        <v>1341</v>
      </c>
      <c r="H181" s="63">
        <v>472</v>
      </c>
      <c r="I181" s="63">
        <v>238</v>
      </c>
      <c r="J181" s="63">
        <v>51386</v>
      </c>
      <c r="K181" s="63">
        <v>51706</v>
      </c>
      <c r="L181" s="63">
        <v>133</v>
      </c>
      <c r="M181" s="61" t="s">
        <v>19</v>
      </c>
      <c r="N181" s="61"/>
      <c r="O181" s="61" t="s">
        <v>20</v>
      </c>
      <c r="P181" s="64">
        <f t="shared" si="4"/>
        <v>3.9913595142645857E-2</v>
      </c>
      <c r="Q181" s="4">
        <f t="shared" si="5"/>
        <v>2051</v>
      </c>
    </row>
    <row r="182" spans="1:17" ht="15.75" customHeight="1" x14ac:dyDescent="0.3">
      <c r="A182" s="60" t="s">
        <v>171</v>
      </c>
      <c r="B182" s="61" t="s">
        <v>22</v>
      </c>
      <c r="C182" s="62">
        <v>45624</v>
      </c>
      <c r="D182" s="61" t="s">
        <v>23</v>
      </c>
      <c r="E182" s="61" t="s">
        <v>24</v>
      </c>
      <c r="F182" s="61"/>
      <c r="G182" s="63">
        <v>1131</v>
      </c>
      <c r="H182" s="63">
        <v>100</v>
      </c>
      <c r="I182" s="63">
        <v>116</v>
      </c>
      <c r="J182" s="63">
        <v>48437</v>
      </c>
      <c r="K182" s="63">
        <v>72704</v>
      </c>
      <c r="L182" s="63">
        <v>236</v>
      </c>
      <c r="M182" s="61" t="s">
        <v>19</v>
      </c>
      <c r="N182" s="61" t="s">
        <v>355</v>
      </c>
      <c r="O182" s="61" t="s">
        <v>16</v>
      </c>
      <c r="P182" s="64">
        <f t="shared" si="4"/>
        <v>2.7809319322005904E-2</v>
      </c>
      <c r="Q182" s="4">
        <f t="shared" si="5"/>
        <v>1347</v>
      </c>
    </row>
    <row r="183" spans="1:17" ht="15.75" customHeight="1" x14ac:dyDescent="0.3">
      <c r="A183" s="60" t="s">
        <v>60</v>
      </c>
      <c r="B183" s="61" t="s">
        <v>13</v>
      </c>
      <c r="C183" s="62">
        <v>45625</v>
      </c>
      <c r="D183" s="61" t="s">
        <v>14</v>
      </c>
      <c r="E183" s="61" t="s">
        <v>360</v>
      </c>
      <c r="F183" s="61" t="s">
        <v>361</v>
      </c>
      <c r="G183" s="63">
        <v>2824</v>
      </c>
      <c r="H183" s="63">
        <v>425</v>
      </c>
      <c r="I183" s="63">
        <v>274</v>
      </c>
      <c r="J183" s="63">
        <v>31004</v>
      </c>
      <c r="K183" s="63">
        <v>53488</v>
      </c>
      <c r="L183" s="63">
        <v>268</v>
      </c>
      <c r="M183" s="61" t="s">
        <v>39</v>
      </c>
      <c r="N183" s="61" t="s">
        <v>36</v>
      </c>
      <c r="O183" s="61" t="s">
        <v>16</v>
      </c>
      <c r="P183" s="64">
        <f t="shared" si="4"/>
        <v>0.11363049929041415</v>
      </c>
      <c r="Q183" s="4">
        <f t="shared" si="5"/>
        <v>3523</v>
      </c>
    </row>
    <row r="184" spans="1:17" ht="15.75" customHeight="1" x14ac:dyDescent="0.3">
      <c r="A184" s="60" t="s">
        <v>295</v>
      </c>
      <c r="B184" s="61" t="s">
        <v>22</v>
      </c>
      <c r="C184" s="62">
        <v>45626</v>
      </c>
      <c r="D184" s="61" t="s">
        <v>23</v>
      </c>
      <c r="E184" s="61" t="s">
        <v>18</v>
      </c>
      <c r="F184" s="61"/>
      <c r="G184" s="63">
        <v>4963</v>
      </c>
      <c r="H184" s="63">
        <v>255</v>
      </c>
      <c r="I184" s="63">
        <v>193</v>
      </c>
      <c r="J184" s="63">
        <v>44386</v>
      </c>
      <c r="K184" s="63">
        <v>28415</v>
      </c>
      <c r="L184" s="63">
        <v>174</v>
      </c>
      <c r="M184" s="61" t="s">
        <v>355</v>
      </c>
      <c r="N184" s="61" t="s">
        <v>36</v>
      </c>
      <c r="O184" s="61" t="s">
        <v>16</v>
      </c>
      <c r="P184" s="64">
        <f t="shared" si="4"/>
        <v>0.12190780876853062</v>
      </c>
      <c r="Q184" s="4">
        <f t="shared" si="5"/>
        <v>5411</v>
      </c>
    </row>
    <row r="185" spans="1:17" ht="15.75" customHeight="1" x14ac:dyDescent="0.3">
      <c r="A185" s="60" t="s">
        <v>311</v>
      </c>
      <c r="B185" s="61" t="s">
        <v>13</v>
      </c>
      <c r="C185" s="62">
        <v>45628</v>
      </c>
      <c r="D185" s="61" t="s">
        <v>14</v>
      </c>
      <c r="E185" s="61" t="s">
        <v>35</v>
      </c>
      <c r="F185" s="61"/>
      <c r="G185" s="63">
        <v>3194</v>
      </c>
      <c r="H185" s="63">
        <v>292</v>
      </c>
      <c r="I185" s="63">
        <v>245</v>
      </c>
      <c r="J185" s="63">
        <v>56371</v>
      </c>
      <c r="K185" s="63">
        <v>65597</v>
      </c>
      <c r="L185" s="63">
        <v>163</v>
      </c>
      <c r="M185" s="61" t="s">
        <v>39</v>
      </c>
      <c r="N185" s="61" t="s">
        <v>36</v>
      </c>
      <c r="O185" s="61" t="s">
        <v>16</v>
      </c>
      <c r="P185" s="64">
        <f t="shared" si="4"/>
        <v>6.6186514342481059E-2</v>
      </c>
      <c r="Q185" s="4">
        <f t="shared" si="5"/>
        <v>3731</v>
      </c>
    </row>
    <row r="186" spans="1:17" ht="15.75" customHeight="1" x14ac:dyDescent="0.3">
      <c r="A186" s="55" t="s">
        <v>25</v>
      </c>
      <c r="B186" s="56" t="s">
        <v>13</v>
      </c>
      <c r="C186" s="57">
        <v>45629</v>
      </c>
      <c r="D186" s="56" t="s">
        <v>14</v>
      </c>
      <c r="E186" s="56" t="s">
        <v>26</v>
      </c>
      <c r="F186" s="56"/>
      <c r="G186" s="58">
        <v>3173</v>
      </c>
      <c r="H186" s="58">
        <v>229</v>
      </c>
      <c r="I186" s="58">
        <v>197</v>
      </c>
      <c r="J186" s="58">
        <v>29604</v>
      </c>
      <c r="K186" s="58">
        <v>21809</v>
      </c>
      <c r="L186" s="58">
        <v>272</v>
      </c>
      <c r="M186" s="56" t="s">
        <v>39</v>
      </c>
      <c r="N186" s="56" t="s">
        <v>36</v>
      </c>
      <c r="O186" s="56" t="s">
        <v>16</v>
      </c>
      <c r="P186" s="59">
        <f t="shared" si="4"/>
        <v>0.1215714092690177</v>
      </c>
      <c r="Q186" s="4">
        <f t="shared" si="5"/>
        <v>3599</v>
      </c>
    </row>
    <row r="187" spans="1:17" ht="15.75" customHeight="1" x14ac:dyDescent="0.3">
      <c r="A187" s="55" t="s">
        <v>21</v>
      </c>
      <c r="B187" s="56" t="s">
        <v>22</v>
      </c>
      <c r="C187" s="57">
        <v>45629</v>
      </c>
      <c r="D187" s="56" t="s">
        <v>23</v>
      </c>
      <c r="E187" s="56" t="s">
        <v>24</v>
      </c>
      <c r="F187" s="56"/>
      <c r="G187" s="58">
        <v>3092</v>
      </c>
      <c r="H187" s="58">
        <v>177</v>
      </c>
      <c r="I187" s="58">
        <v>81</v>
      </c>
      <c r="J187" s="58">
        <v>47533</v>
      </c>
      <c r="K187" s="58">
        <v>29220</v>
      </c>
      <c r="L187" s="58">
        <v>121</v>
      </c>
      <c r="M187" s="56" t="s">
        <v>355</v>
      </c>
      <c r="N187" s="56" t="s">
        <v>36</v>
      </c>
      <c r="O187" s="56" t="s">
        <v>16</v>
      </c>
      <c r="P187" s="59">
        <f t="shared" si="4"/>
        <v>7.0477352576105018E-2</v>
      </c>
      <c r="Q187" s="4">
        <f t="shared" si="5"/>
        <v>3350</v>
      </c>
    </row>
    <row r="188" spans="1:17" ht="15.75" customHeight="1" x14ac:dyDescent="0.3">
      <c r="A188" s="55" t="s">
        <v>37</v>
      </c>
      <c r="B188" s="56" t="s">
        <v>22</v>
      </c>
      <c r="C188" s="57">
        <v>45630</v>
      </c>
      <c r="D188" s="56" t="s">
        <v>14</v>
      </c>
      <c r="E188" s="56" t="s">
        <v>26</v>
      </c>
      <c r="F188" s="56"/>
      <c r="G188" s="58">
        <v>2357</v>
      </c>
      <c r="H188" s="58">
        <v>274</v>
      </c>
      <c r="I188" s="58">
        <v>172</v>
      </c>
      <c r="J188" s="58">
        <v>21566</v>
      </c>
      <c r="K188" s="58">
        <v>66829</v>
      </c>
      <c r="L188" s="58">
        <v>284</v>
      </c>
      <c r="M188" s="56" t="s">
        <v>36</v>
      </c>
      <c r="N188" s="56"/>
      <c r="O188" s="56" t="s">
        <v>16</v>
      </c>
      <c r="P188" s="59">
        <f t="shared" si="4"/>
        <v>0.12997310581470833</v>
      </c>
      <c r="Q188" s="4">
        <f t="shared" si="5"/>
        <v>2803</v>
      </c>
    </row>
    <row r="189" spans="1:17" ht="15.75" customHeight="1" x14ac:dyDescent="0.3">
      <c r="A189" s="60" t="s">
        <v>122</v>
      </c>
      <c r="B189" s="61" t="s">
        <v>13</v>
      </c>
      <c r="C189" s="62">
        <v>45630</v>
      </c>
      <c r="D189" s="61" t="s">
        <v>14</v>
      </c>
      <c r="E189" s="61" t="s">
        <v>26</v>
      </c>
      <c r="F189" s="61"/>
      <c r="G189" s="63">
        <v>2601</v>
      </c>
      <c r="H189" s="63">
        <v>336</v>
      </c>
      <c r="I189" s="63">
        <v>260</v>
      </c>
      <c r="J189" s="63">
        <v>32368</v>
      </c>
      <c r="K189" s="63">
        <v>49028</v>
      </c>
      <c r="L189" s="63">
        <v>120</v>
      </c>
      <c r="M189" s="61" t="s">
        <v>39</v>
      </c>
      <c r="N189" s="61" t="s">
        <v>36</v>
      </c>
      <c r="O189" s="61" t="s">
        <v>16</v>
      </c>
      <c r="P189" s="64">
        <f t="shared" si="4"/>
        <v>9.8770390509144837E-2</v>
      </c>
      <c r="Q189" s="4">
        <f t="shared" si="5"/>
        <v>3197</v>
      </c>
    </row>
    <row r="190" spans="1:17" ht="15.75" customHeight="1" x14ac:dyDescent="0.3">
      <c r="A190" s="55" t="s">
        <v>230</v>
      </c>
      <c r="B190" s="56" t="s">
        <v>28</v>
      </c>
      <c r="C190" s="57">
        <v>45634</v>
      </c>
      <c r="D190" s="56" t="s">
        <v>14</v>
      </c>
      <c r="E190" s="56" t="s">
        <v>35</v>
      </c>
      <c r="F190" s="56"/>
      <c r="G190" s="58">
        <v>1424</v>
      </c>
      <c r="H190" s="58">
        <v>396</v>
      </c>
      <c r="I190" s="58">
        <v>312</v>
      </c>
      <c r="J190" s="58">
        <v>59517</v>
      </c>
      <c r="K190" s="58">
        <v>46102</v>
      </c>
      <c r="L190" s="58">
        <v>239</v>
      </c>
      <c r="M190" s="56" t="s">
        <v>19</v>
      </c>
      <c r="N190" s="56" t="s">
        <v>354</v>
      </c>
      <c r="O190" s="56" t="s">
        <v>20</v>
      </c>
      <c r="P190" s="59">
        <f t="shared" si="4"/>
        <v>3.5821698002251455E-2</v>
      </c>
      <c r="Q190" s="4">
        <f t="shared" si="5"/>
        <v>2132</v>
      </c>
    </row>
    <row r="191" spans="1:17" ht="15.75" customHeight="1" x14ac:dyDescent="0.3">
      <c r="A191" s="55" t="s">
        <v>257</v>
      </c>
      <c r="B191" s="56" t="s">
        <v>22</v>
      </c>
      <c r="C191" s="57">
        <v>45636</v>
      </c>
      <c r="D191" s="56" t="s">
        <v>14</v>
      </c>
      <c r="E191" s="56" t="s">
        <v>43</v>
      </c>
      <c r="F191" s="56"/>
      <c r="G191" s="58">
        <v>4673</v>
      </c>
      <c r="H191" s="58">
        <v>270</v>
      </c>
      <c r="I191" s="58">
        <v>93</v>
      </c>
      <c r="J191" s="58">
        <v>45260</v>
      </c>
      <c r="K191" s="58">
        <v>57513</v>
      </c>
      <c r="L191" s="58">
        <v>103</v>
      </c>
      <c r="M191" s="56" t="s">
        <v>36</v>
      </c>
      <c r="N191" s="56"/>
      <c r="O191" s="56" t="s">
        <v>16</v>
      </c>
      <c r="P191" s="59">
        <f t="shared" si="4"/>
        <v>0.11126822801590809</v>
      </c>
      <c r="Q191" s="4">
        <f t="shared" si="5"/>
        <v>5036</v>
      </c>
    </row>
    <row r="192" spans="1:17" ht="15.75" customHeight="1" x14ac:dyDescent="0.3">
      <c r="A192" s="55" t="s">
        <v>276</v>
      </c>
      <c r="B192" s="56" t="s">
        <v>22</v>
      </c>
      <c r="C192" s="57">
        <v>45636</v>
      </c>
      <c r="D192" s="56" t="s">
        <v>23</v>
      </c>
      <c r="E192" s="56" t="s">
        <v>26</v>
      </c>
      <c r="F192" s="56"/>
      <c r="G192" s="58">
        <v>2267</v>
      </c>
      <c r="H192" s="58">
        <v>230</v>
      </c>
      <c r="I192" s="58">
        <v>243</v>
      </c>
      <c r="J192" s="58">
        <v>27904</v>
      </c>
      <c r="K192" s="58">
        <v>69771</v>
      </c>
      <c r="L192" s="58">
        <v>255</v>
      </c>
      <c r="M192" s="56" t="s">
        <v>19</v>
      </c>
      <c r="N192" s="56" t="s">
        <v>355</v>
      </c>
      <c r="O192" s="56" t="s">
        <v>16</v>
      </c>
      <c r="P192" s="59">
        <f t="shared" si="4"/>
        <v>9.8193807339449546E-2</v>
      </c>
      <c r="Q192" s="4">
        <f t="shared" si="5"/>
        <v>2740</v>
      </c>
    </row>
    <row r="193" spans="1:17" ht="15.75" customHeight="1" x14ac:dyDescent="0.3">
      <c r="A193" s="60" t="s">
        <v>253</v>
      </c>
      <c r="B193" s="61" t="s">
        <v>28</v>
      </c>
      <c r="C193" s="62">
        <v>45636</v>
      </c>
      <c r="D193" s="61" t="s">
        <v>14</v>
      </c>
      <c r="E193" s="61" t="s">
        <v>360</v>
      </c>
      <c r="F193" s="61" t="s">
        <v>361</v>
      </c>
      <c r="G193" s="63">
        <v>2569</v>
      </c>
      <c r="H193" s="63">
        <v>140</v>
      </c>
      <c r="I193" s="63">
        <v>375</v>
      </c>
      <c r="J193" s="63">
        <v>38372</v>
      </c>
      <c r="K193" s="63">
        <v>22102</v>
      </c>
      <c r="L193" s="63">
        <v>255</v>
      </c>
      <c r="M193" s="61" t="s">
        <v>19</v>
      </c>
      <c r="N193" s="61" t="s">
        <v>354</v>
      </c>
      <c r="O193" s="61" t="s">
        <v>20</v>
      </c>
      <c r="P193" s="64">
        <f t="shared" si="4"/>
        <v>8.0371103929948923E-2</v>
      </c>
      <c r="Q193" s="4">
        <f t="shared" si="5"/>
        <v>3084</v>
      </c>
    </row>
    <row r="194" spans="1:17" ht="15.75" customHeight="1" x14ac:dyDescent="0.3">
      <c r="A194" s="60" t="s">
        <v>272</v>
      </c>
      <c r="B194" s="61" t="s">
        <v>22</v>
      </c>
      <c r="C194" s="62">
        <v>45639</v>
      </c>
      <c r="D194" s="61" t="s">
        <v>23</v>
      </c>
      <c r="E194" s="61" t="s">
        <v>24</v>
      </c>
      <c r="F194" s="61"/>
      <c r="G194" s="63">
        <v>4984</v>
      </c>
      <c r="H194" s="63">
        <v>300</v>
      </c>
      <c r="I194" s="63">
        <v>338</v>
      </c>
      <c r="J194" s="63">
        <v>32900</v>
      </c>
      <c r="K194" s="63">
        <v>31691</v>
      </c>
      <c r="L194" s="63">
        <v>160</v>
      </c>
      <c r="M194" s="61" t="s">
        <v>355</v>
      </c>
      <c r="N194" s="61" t="s">
        <v>36</v>
      </c>
      <c r="O194" s="61" t="s">
        <v>16</v>
      </c>
      <c r="P194" s="64">
        <f t="shared" ref="P194:P257" si="6">(G194+H194+I194)/J194</f>
        <v>0.17088145896656534</v>
      </c>
      <c r="Q194" s="4">
        <f t="shared" si="5"/>
        <v>5622</v>
      </c>
    </row>
    <row r="195" spans="1:17" ht="15.75" customHeight="1" x14ac:dyDescent="0.3">
      <c r="A195" s="55" t="s">
        <v>211</v>
      </c>
      <c r="B195" s="56" t="s">
        <v>13</v>
      </c>
      <c r="C195" s="57">
        <v>45640</v>
      </c>
      <c r="D195" s="56" t="s">
        <v>23</v>
      </c>
      <c r="E195" s="56" t="s">
        <v>43</v>
      </c>
      <c r="F195" s="56"/>
      <c r="G195" s="58">
        <v>3812</v>
      </c>
      <c r="H195" s="58">
        <v>321</v>
      </c>
      <c r="I195" s="58">
        <v>289</v>
      </c>
      <c r="J195" s="58">
        <v>59838</v>
      </c>
      <c r="K195" s="58">
        <v>36337</v>
      </c>
      <c r="L195" s="58">
        <v>161</v>
      </c>
      <c r="M195" s="56" t="s">
        <v>36</v>
      </c>
      <c r="N195" s="56"/>
      <c r="O195" s="56" t="s">
        <v>49</v>
      </c>
      <c r="P195" s="59">
        <f t="shared" si="6"/>
        <v>7.3899528727564417E-2</v>
      </c>
      <c r="Q195" s="4">
        <f t="shared" ref="Q195:Q258" si="7">G195+H195+I195</f>
        <v>4422</v>
      </c>
    </row>
    <row r="196" spans="1:17" ht="15.75" customHeight="1" x14ac:dyDescent="0.3">
      <c r="A196" s="60" t="s">
        <v>102</v>
      </c>
      <c r="B196" s="61" t="s">
        <v>22</v>
      </c>
      <c r="C196" s="62">
        <v>45643</v>
      </c>
      <c r="D196" s="61" t="s">
        <v>23</v>
      </c>
      <c r="E196" s="61" t="s">
        <v>29</v>
      </c>
      <c r="F196" s="61"/>
      <c r="G196" s="63">
        <v>1316</v>
      </c>
      <c r="H196" s="63">
        <v>472</v>
      </c>
      <c r="I196" s="63">
        <v>286</v>
      </c>
      <c r="J196" s="63">
        <v>44692</v>
      </c>
      <c r="K196" s="63">
        <v>53343</v>
      </c>
      <c r="L196" s="63">
        <v>227</v>
      </c>
      <c r="M196" s="61" t="s">
        <v>19</v>
      </c>
      <c r="N196" s="61" t="s">
        <v>355</v>
      </c>
      <c r="O196" s="61" t="s">
        <v>16</v>
      </c>
      <c r="P196" s="64">
        <f t="shared" si="6"/>
        <v>4.6406515707509172E-2</v>
      </c>
      <c r="Q196" s="4">
        <f t="shared" si="7"/>
        <v>2074</v>
      </c>
    </row>
    <row r="197" spans="1:17" ht="15.75" customHeight="1" x14ac:dyDescent="0.3">
      <c r="A197" s="60" t="s">
        <v>31</v>
      </c>
      <c r="B197" s="61" t="s">
        <v>22</v>
      </c>
      <c r="C197" s="62">
        <v>45645</v>
      </c>
      <c r="D197" s="61" t="s">
        <v>23</v>
      </c>
      <c r="E197" s="61" t="s">
        <v>32</v>
      </c>
      <c r="F197" s="61"/>
      <c r="G197" s="63">
        <v>4674</v>
      </c>
      <c r="H197" s="63">
        <v>409</v>
      </c>
      <c r="I197" s="63">
        <v>327</v>
      </c>
      <c r="J197" s="63">
        <v>20756</v>
      </c>
      <c r="K197" s="63">
        <v>63599</v>
      </c>
      <c r="L197" s="63">
        <v>212</v>
      </c>
      <c r="M197" s="61" t="s">
        <v>39</v>
      </c>
      <c r="N197" s="61" t="s">
        <v>36</v>
      </c>
      <c r="O197" s="61" t="s">
        <v>16</v>
      </c>
      <c r="P197" s="64">
        <f t="shared" si="6"/>
        <v>0.26064752360763155</v>
      </c>
      <c r="Q197" s="4">
        <f t="shared" si="7"/>
        <v>5410</v>
      </c>
    </row>
    <row r="198" spans="1:17" ht="15.75" customHeight="1" x14ac:dyDescent="0.3">
      <c r="A198" s="55" t="s">
        <v>269</v>
      </c>
      <c r="B198" s="56" t="s">
        <v>13</v>
      </c>
      <c r="C198" s="57">
        <v>45646</v>
      </c>
      <c r="D198" s="56" t="s">
        <v>14</v>
      </c>
      <c r="E198" s="56" t="s">
        <v>15</v>
      </c>
      <c r="F198" s="56"/>
      <c r="G198" s="58">
        <v>2519</v>
      </c>
      <c r="H198" s="58">
        <v>202</v>
      </c>
      <c r="I198" s="58">
        <v>239</v>
      </c>
      <c r="J198" s="58">
        <v>36245</v>
      </c>
      <c r="K198" s="58">
        <v>48606</v>
      </c>
      <c r="L198" s="58">
        <v>145</v>
      </c>
      <c r="M198" s="56" t="s">
        <v>19</v>
      </c>
      <c r="N198" s="56"/>
      <c r="O198" s="56" t="s">
        <v>20</v>
      </c>
      <c r="P198" s="59">
        <f t="shared" si="6"/>
        <v>8.1666436749896543E-2</v>
      </c>
      <c r="Q198" s="4">
        <f t="shared" si="7"/>
        <v>2960</v>
      </c>
    </row>
    <row r="199" spans="1:17" ht="15.75" customHeight="1" x14ac:dyDescent="0.3">
      <c r="A199" s="60" t="s">
        <v>175</v>
      </c>
      <c r="B199" s="61" t="s">
        <v>13</v>
      </c>
      <c r="C199" s="62">
        <v>45647</v>
      </c>
      <c r="D199" s="61" t="s">
        <v>23</v>
      </c>
      <c r="E199" s="61" t="s">
        <v>24</v>
      </c>
      <c r="F199" s="61"/>
      <c r="G199" s="63">
        <v>4563</v>
      </c>
      <c r="H199" s="63">
        <v>398</v>
      </c>
      <c r="I199" s="63">
        <v>163</v>
      </c>
      <c r="J199" s="63">
        <v>43679</v>
      </c>
      <c r="K199" s="63">
        <v>48760</v>
      </c>
      <c r="L199" s="63">
        <v>92</v>
      </c>
      <c r="M199" s="61" t="s">
        <v>36</v>
      </c>
      <c r="N199" s="61"/>
      <c r="O199" s="61" t="s">
        <v>49</v>
      </c>
      <c r="P199" s="64">
        <f t="shared" si="6"/>
        <v>0.11731037798484398</v>
      </c>
      <c r="Q199" s="4">
        <f t="shared" si="7"/>
        <v>5124</v>
      </c>
    </row>
    <row r="200" spans="1:17" ht="15.75" customHeight="1" x14ac:dyDescent="0.3">
      <c r="A200" s="55" t="s">
        <v>327</v>
      </c>
      <c r="B200" s="56" t="s">
        <v>13</v>
      </c>
      <c r="C200" s="57">
        <v>45653</v>
      </c>
      <c r="D200" s="56" t="s">
        <v>14</v>
      </c>
      <c r="E200" s="56" t="s">
        <v>43</v>
      </c>
      <c r="F200" s="56"/>
      <c r="G200" s="58">
        <v>1436</v>
      </c>
      <c r="H200" s="58">
        <v>219</v>
      </c>
      <c r="I200" s="58">
        <v>229</v>
      </c>
      <c r="J200" s="58">
        <v>58488</v>
      </c>
      <c r="K200" s="58">
        <v>24314</v>
      </c>
      <c r="L200" s="58">
        <v>147</v>
      </c>
      <c r="M200" s="56" t="s">
        <v>19</v>
      </c>
      <c r="N200" s="56"/>
      <c r="O200" s="56" t="s">
        <v>20</v>
      </c>
      <c r="P200" s="59">
        <f t="shared" si="6"/>
        <v>3.221173574066475E-2</v>
      </c>
      <c r="Q200" s="4">
        <f t="shared" si="7"/>
        <v>1884</v>
      </c>
    </row>
    <row r="201" spans="1:17" ht="15.75" customHeight="1" x14ac:dyDescent="0.3">
      <c r="A201" s="60" t="s">
        <v>46</v>
      </c>
      <c r="B201" s="61" t="s">
        <v>22</v>
      </c>
      <c r="C201" s="62">
        <v>45655</v>
      </c>
      <c r="D201" s="61" t="s">
        <v>23</v>
      </c>
      <c r="E201" s="61" t="s">
        <v>24</v>
      </c>
      <c r="F201" s="61"/>
      <c r="G201" s="63">
        <v>4049</v>
      </c>
      <c r="H201" s="63">
        <v>377</v>
      </c>
      <c r="I201" s="63">
        <v>94</v>
      </c>
      <c r="J201" s="63">
        <v>48182</v>
      </c>
      <c r="K201" s="63">
        <v>42875</v>
      </c>
      <c r="L201" s="63">
        <v>172</v>
      </c>
      <c r="M201" s="61" t="s">
        <v>355</v>
      </c>
      <c r="N201" s="61" t="s">
        <v>36</v>
      </c>
      <c r="O201" s="61" t="s">
        <v>16</v>
      </c>
      <c r="P201" s="64">
        <f t="shared" si="6"/>
        <v>9.3810966751068869E-2</v>
      </c>
      <c r="Q201" s="4">
        <f t="shared" si="7"/>
        <v>4520</v>
      </c>
    </row>
    <row r="202" spans="1:17" ht="15.75" customHeight="1" x14ac:dyDescent="0.3">
      <c r="A202" s="60" t="s">
        <v>237</v>
      </c>
      <c r="B202" s="61" t="s">
        <v>22</v>
      </c>
      <c r="C202" s="62">
        <v>45656</v>
      </c>
      <c r="D202" s="61" t="s">
        <v>14</v>
      </c>
      <c r="E202" s="61" t="s">
        <v>32</v>
      </c>
      <c r="F202" s="61"/>
      <c r="G202" s="63">
        <v>4214</v>
      </c>
      <c r="H202" s="63">
        <v>286</v>
      </c>
      <c r="I202" s="63">
        <v>127</v>
      </c>
      <c r="J202" s="63">
        <v>47293</v>
      </c>
      <c r="K202" s="63">
        <v>27184</v>
      </c>
      <c r="L202" s="63">
        <v>232</v>
      </c>
      <c r="M202" s="61" t="s">
        <v>36</v>
      </c>
      <c r="N202" s="61"/>
      <c r="O202" s="61" t="s">
        <v>16</v>
      </c>
      <c r="P202" s="64">
        <f t="shared" si="6"/>
        <v>9.7836889180216949E-2</v>
      </c>
      <c r="Q202" s="4">
        <f t="shared" si="7"/>
        <v>4627</v>
      </c>
    </row>
    <row r="203" spans="1:17" ht="15.75" customHeight="1" x14ac:dyDescent="0.3">
      <c r="A203" s="55" t="s">
        <v>64</v>
      </c>
      <c r="B203" s="56" t="s">
        <v>13</v>
      </c>
      <c r="C203" s="57">
        <v>45658</v>
      </c>
      <c r="D203" s="56" t="s">
        <v>14</v>
      </c>
      <c r="E203" s="56" t="s">
        <v>24</v>
      </c>
      <c r="F203" s="56"/>
      <c r="G203" s="58">
        <v>4036</v>
      </c>
      <c r="H203" s="58">
        <v>112</v>
      </c>
      <c r="I203" s="58">
        <v>382</v>
      </c>
      <c r="J203" s="58">
        <v>56284</v>
      </c>
      <c r="K203" s="58">
        <v>29440</v>
      </c>
      <c r="L203" s="58">
        <v>279</v>
      </c>
      <c r="M203" s="56" t="s">
        <v>39</v>
      </c>
      <c r="N203" s="56" t="s">
        <v>36</v>
      </c>
      <c r="O203" s="56" t="s">
        <v>16</v>
      </c>
      <c r="P203" s="59">
        <f t="shared" si="6"/>
        <v>8.0484684812735408E-2</v>
      </c>
      <c r="Q203" s="4">
        <f t="shared" si="7"/>
        <v>4530</v>
      </c>
    </row>
    <row r="204" spans="1:17" ht="15.75" customHeight="1" x14ac:dyDescent="0.3">
      <c r="A204" s="55" t="s">
        <v>116</v>
      </c>
      <c r="B204" s="56" t="s">
        <v>22</v>
      </c>
      <c r="C204" s="57">
        <v>45660</v>
      </c>
      <c r="D204" s="56" t="s">
        <v>23</v>
      </c>
      <c r="E204" s="56" t="s">
        <v>32</v>
      </c>
      <c r="F204" s="56"/>
      <c r="G204" s="58">
        <v>4845</v>
      </c>
      <c r="H204" s="58">
        <v>158</v>
      </c>
      <c r="I204" s="58">
        <v>84</v>
      </c>
      <c r="J204" s="58">
        <v>34578</v>
      </c>
      <c r="K204" s="58">
        <v>51480</v>
      </c>
      <c r="L204" s="58">
        <v>180</v>
      </c>
      <c r="M204" s="56" t="s">
        <v>39</v>
      </c>
      <c r="N204" s="56" t="s">
        <v>36</v>
      </c>
      <c r="O204" s="56" t="s">
        <v>16</v>
      </c>
      <c r="P204" s="59">
        <f t="shared" si="6"/>
        <v>0.1471166637746544</v>
      </c>
      <c r="Q204" s="4">
        <f t="shared" si="7"/>
        <v>5087</v>
      </c>
    </row>
    <row r="205" spans="1:17" ht="15.75" customHeight="1" x14ac:dyDescent="0.3">
      <c r="A205" s="60" t="s">
        <v>202</v>
      </c>
      <c r="B205" s="61" t="s">
        <v>28</v>
      </c>
      <c r="C205" s="62">
        <v>45660</v>
      </c>
      <c r="D205" s="61" t="s">
        <v>14</v>
      </c>
      <c r="E205" s="61" t="s">
        <v>24</v>
      </c>
      <c r="F205" s="61"/>
      <c r="G205" s="63">
        <v>3782</v>
      </c>
      <c r="H205" s="63">
        <v>484</v>
      </c>
      <c r="I205" s="63">
        <v>144</v>
      </c>
      <c r="J205" s="63">
        <v>52172</v>
      </c>
      <c r="K205" s="63">
        <v>59386</v>
      </c>
      <c r="L205" s="63">
        <v>175</v>
      </c>
      <c r="M205" s="61" t="s">
        <v>19</v>
      </c>
      <c r="N205" s="61" t="s">
        <v>354</v>
      </c>
      <c r="O205" s="61" t="s">
        <v>20</v>
      </c>
      <c r="P205" s="64">
        <f t="shared" si="6"/>
        <v>8.4528099363643333E-2</v>
      </c>
      <c r="Q205" s="4">
        <f t="shared" si="7"/>
        <v>4410</v>
      </c>
    </row>
    <row r="206" spans="1:17" ht="15.75" customHeight="1" x14ac:dyDescent="0.3">
      <c r="A206" s="60" t="s">
        <v>103</v>
      </c>
      <c r="B206" s="61" t="s">
        <v>22</v>
      </c>
      <c r="C206" s="62">
        <v>45662</v>
      </c>
      <c r="D206" s="61" t="s">
        <v>14</v>
      </c>
      <c r="E206" s="61" t="s">
        <v>26</v>
      </c>
      <c r="F206" s="61"/>
      <c r="G206" s="63">
        <v>4811</v>
      </c>
      <c r="H206" s="63">
        <v>473</v>
      </c>
      <c r="I206" s="63">
        <v>254</v>
      </c>
      <c r="J206" s="63">
        <v>51964</v>
      </c>
      <c r="K206" s="63">
        <v>68795</v>
      </c>
      <c r="L206" s="63">
        <v>107</v>
      </c>
      <c r="M206" s="61" t="s">
        <v>36</v>
      </c>
      <c r="N206" s="61"/>
      <c r="O206" s="61" t="s">
        <v>16</v>
      </c>
      <c r="P206" s="64">
        <f t="shared" si="6"/>
        <v>0.10657378184897237</v>
      </c>
      <c r="Q206" s="4">
        <f t="shared" si="7"/>
        <v>5538</v>
      </c>
    </row>
    <row r="207" spans="1:17" ht="15.75" customHeight="1" x14ac:dyDescent="0.3">
      <c r="A207" s="60" t="s">
        <v>293</v>
      </c>
      <c r="B207" s="61" t="s">
        <v>22</v>
      </c>
      <c r="C207" s="62">
        <v>45662</v>
      </c>
      <c r="D207" s="61" t="s">
        <v>23</v>
      </c>
      <c r="E207" s="61" t="s">
        <v>18</v>
      </c>
      <c r="F207" s="61"/>
      <c r="G207" s="63">
        <v>3341</v>
      </c>
      <c r="H207" s="63">
        <v>154</v>
      </c>
      <c r="I207" s="63">
        <v>123</v>
      </c>
      <c r="J207" s="63">
        <v>43369</v>
      </c>
      <c r="K207" s="63">
        <v>49035</v>
      </c>
      <c r="L207" s="63">
        <v>128</v>
      </c>
      <c r="M207" s="61" t="s">
        <v>355</v>
      </c>
      <c r="N207" s="61" t="s">
        <v>36</v>
      </c>
      <c r="O207" s="61" t="s">
        <v>16</v>
      </c>
      <c r="P207" s="64">
        <f t="shared" si="6"/>
        <v>8.3423643616408028E-2</v>
      </c>
      <c r="Q207" s="4">
        <f t="shared" si="7"/>
        <v>3618</v>
      </c>
    </row>
    <row r="208" spans="1:17" ht="15.75" customHeight="1" x14ac:dyDescent="0.3">
      <c r="A208" s="55" t="s">
        <v>278</v>
      </c>
      <c r="B208" s="56" t="s">
        <v>22</v>
      </c>
      <c r="C208" s="57">
        <v>45666</v>
      </c>
      <c r="D208" s="56" t="s">
        <v>23</v>
      </c>
      <c r="E208" s="56" t="s">
        <v>45</v>
      </c>
      <c r="F208" s="56"/>
      <c r="G208" s="58">
        <v>3817</v>
      </c>
      <c r="H208" s="58">
        <v>284</v>
      </c>
      <c r="I208" s="58">
        <v>204</v>
      </c>
      <c r="J208" s="58">
        <v>46434</v>
      </c>
      <c r="K208" s="58">
        <v>53396</v>
      </c>
      <c r="L208" s="58">
        <v>104</v>
      </c>
      <c r="M208" s="56" t="s">
        <v>355</v>
      </c>
      <c r="N208" s="56" t="s">
        <v>36</v>
      </c>
      <c r="O208" s="56" t="s">
        <v>16</v>
      </c>
      <c r="P208" s="59">
        <f t="shared" si="6"/>
        <v>9.2712236723090841E-2</v>
      </c>
      <c r="Q208" s="4">
        <f t="shared" si="7"/>
        <v>4305</v>
      </c>
    </row>
    <row r="209" spans="1:17" ht="15.75" customHeight="1" x14ac:dyDescent="0.3">
      <c r="A209" s="55" t="s">
        <v>67</v>
      </c>
      <c r="B209" s="56" t="s">
        <v>13</v>
      </c>
      <c r="C209" s="57">
        <v>45666</v>
      </c>
      <c r="D209" s="56" t="s">
        <v>14</v>
      </c>
      <c r="E209" s="56" t="s">
        <v>24</v>
      </c>
      <c r="F209" s="56"/>
      <c r="G209" s="58">
        <v>1015</v>
      </c>
      <c r="H209" s="58">
        <v>366</v>
      </c>
      <c r="I209" s="58">
        <v>308</v>
      </c>
      <c r="J209" s="58">
        <v>38127</v>
      </c>
      <c r="K209" s="58">
        <v>63790</v>
      </c>
      <c r="L209" s="58">
        <v>287</v>
      </c>
      <c r="M209" s="56" t="s">
        <v>39</v>
      </c>
      <c r="N209" s="56" t="s">
        <v>36</v>
      </c>
      <c r="O209" s="56" t="s">
        <v>16</v>
      </c>
      <c r="P209" s="59">
        <f t="shared" si="6"/>
        <v>4.4299315445747112E-2</v>
      </c>
      <c r="Q209" s="4">
        <f t="shared" si="7"/>
        <v>1689</v>
      </c>
    </row>
    <row r="210" spans="1:17" ht="15.75" customHeight="1" x14ac:dyDescent="0.3">
      <c r="A210" s="55" t="s">
        <v>249</v>
      </c>
      <c r="B210" s="56" t="s">
        <v>22</v>
      </c>
      <c r="C210" s="57">
        <v>45669</v>
      </c>
      <c r="D210" s="56" t="s">
        <v>14</v>
      </c>
      <c r="E210" s="56" t="s">
        <v>29</v>
      </c>
      <c r="F210" s="56"/>
      <c r="G210" s="58">
        <v>1765</v>
      </c>
      <c r="H210" s="58">
        <v>285</v>
      </c>
      <c r="I210" s="58">
        <v>100</v>
      </c>
      <c r="J210" s="58">
        <v>41313</v>
      </c>
      <c r="K210" s="58">
        <v>56575</v>
      </c>
      <c r="L210" s="58">
        <v>174</v>
      </c>
      <c r="M210" s="56" t="s">
        <v>39</v>
      </c>
      <c r="N210" s="56"/>
      <c r="O210" s="56" t="s">
        <v>20</v>
      </c>
      <c r="P210" s="59">
        <f t="shared" si="6"/>
        <v>5.2041730205988429E-2</v>
      </c>
      <c r="Q210" s="4">
        <f t="shared" si="7"/>
        <v>2150</v>
      </c>
    </row>
    <row r="211" spans="1:17" ht="15.75" customHeight="1" x14ac:dyDescent="0.3">
      <c r="A211" s="55" t="s">
        <v>229</v>
      </c>
      <c r="B211" s="56" t="s">
        <v>13</v>
      </c>
      <c r="C211" s="57">
        <v>45669</v>
      </c>
      <c r="D211" s="56" t="s">
        <v>14</v>
      </c>
      <c r="E211" s="56" t="s">
        <v>43</v>
      </c>
      <c r="F211" s="56"/>
      <c r="G211" s="58">
        <v>1771</v>
      </c>
      <c r="H211" s="58">
        <v>487</v>
      </c>
      <c r="I211" s="58">
        <v>272</v>
      </c>
      <c r="J211" s="58">
        <v>48810</v>
      </c>
      <c r="K211" s="58">
        <v>48084</v>
      </c>
      <c r="L211" s="58">
        <v>272</v>
      </c>
      <c r="M211" s="56" t="s">
        <v>39</v>
      </c>
      <c r="N211" s="56" t="s">
        <v>36</v>
      </c>
      <c r="O211" s="56" t="s">
        <v>16</v>
      </c>
      <c r="P211" s="59">
        <f t="shared" si="6"/>
        <v>5.1833640647408315E-2</v>
      </c>
      <c r="Q211" s="4">
        <f t="shared" si="7"/>
        <v>2530</v>
      </c>
    </row>
    <row r="212" spans="1:17" ht="15.75" customHeight="1" x14ac:dyDescent="0.3">
      <c r="A212" s="60" t="s">
        <v>140</v>
      </c>
      <c r="B212" s="61" t="s">
        <v>22</v>
      </c>
      <c r="C212" s="62">
        <v>45670</v>
      </c>
      <c r="D212" s="61" t="s">
        <v>14</v>
      </c>
      <c r="E212" s="61" t="s">
        <v>29</v>
      </c>
      <c r="F212" s="61"/>
      <c r="G212" s="63">
        <v>4090</v>
      </c>
      <c r="H212" s="63">
        <v>209</v>
      </c>
      <c r="I212" s="63">
        <v>278</v>
      </c>
      <c r="J212" s="63">
        <v>52853</v>
      </c>
      <c r="K212" s="63">
        <v>57084</v>
      </c>
      <c r="L212" s="63">
        <v>102</v>
      </c>
      <c r="M212" s="61" t="s">
        <v>39</v>
      </c>
      <c r="N212" s="61"/>
      <c r="O212" s="61" t="s">
        <v>20</v>
      </c>
      <c r="P212" s="64">
        <f t="shared" si="6"/>
        <v>8.6598679355949518E-2</v>
      </c>
      <c r="Q212" s="4">
        <f t="shared" si="7"/>
        <v>4577</v>
      </c>
    </row>
    <row r="213" spans="1:17" ht="15.75" customHeight="1" x14ac:dyDescent="0.3">
      <c r="A213" s="55" t="s">
        <v>248</v>
      </c>
      <c r="B213" s="56" t="s">
        <v>28</v>
      </c>
      <c r="C213" s="57">
        <v>45672</v>
      </c>
      <c r="D213" s="56" t="s">
        <v>14</v>
      </c>
      <c r="E213" s="56" t="s">
        <v>45</v>
      </c>
      <c r="F213" s="56"/>
      <c r="G213" s="58">
        <v>2599</v>
      </c>
      <c r="H213" s="58">
        <v>324</v>
      </c>
      <c r="I213" s="58">
        <v>182</v>
      </c>
      <c r="J213" s="58">
        <v>37525</v>
      </c>
      <c r="K213" s="58">
        <v>37216</v>
      </c>
      <c r="L213" s="58">
        <v>186</v>
      </c>
      <c r="M213" s="56" t="s">
        <v>19</v>
      </c>
      <c r="N213" s="56" t="s">
        <v>354</v>
      </c>
      <c r="O213" s="56" t="s">
        <v>20</v>
      </c>
      <c r="P213" s="59">
        <f t="shared" si="6"/>
        <v>8.2744836775483013E-2</v>
      </c>
      <c r="Q213" s="4">
        <f t="shared" si="7"/>
        <v>3105</v>
      </c>
    </row>
    <row r="214" spans="1:17" ht="15.75" customHeight="1" x14ac:dyDescent="0.3">
      <c r="A214" s="55" t="s">
        <v>223</v>
      </c>
      <c r="B214" s="56" t="s">
        <v>13</v>
      </c>
      <c r="C214" s="57">
        <v>45673</v>
      </c>
      <c r="D214" s="56" t="s">
        <v>14</v>
      </c>
      <c r="E214" s="56" t="s">
        <v>29</v>
      </c>
      <c r="F214" s="56"/>
      <c r="G214" s="58">
        <v>2605</v>
      </c>
      <c r="H214" s="58">
        <v>282</v>
      </c>
      <c r="I214" s="58">
        <v>148</v>
      </c>
      <c r="J214" s="58">
        <v>32201</v>
      </c>
      <c r="K214" s="58">
        <v>49583</v>
      </c>
      <c r="L214" s="58">
        <v>241</v>
      </c>
      <c r="M214" s="56" t="s">
        <v>39</v>
      </c>
      <c r="N214" s="56" t="s">
        <v>36</v>
      </c>
      <c r="O214" s="56" t="s">
        <v>16</v>
      </c>
      <c r="P214" s="59">
        <f t="shared" si="6"/>
        <v>9.4251731312692155E-2</v>
      </c>
      <c r="Q214" s="4">
        <f t="shared" si="7"/>
        <v>3035</v>
      </c>
    </row>
    <row r="215" spans="1:17" ht="15.75" customHeight="1" x14ac:dyDescent="0.3">
      <c r="A215" s="55" t="s">
        <v>153</v>
      </c>
      <c r="B215" s="56" t="s">
        <v>13</v>
      </c>
      <c r="C215" s="57">
        <v>45674</v>
      </c>
      <c r="D215" s="56" t="s">
        <v>14</v>
      </c>
      <c r="E215" s="56" t="s">
        <v>35</v>
      </c>
      <c r="F215" s="56"/>
      <c r="G215" s="58">
        <v>2266</v>
      </c>
      <c r="H215" s="58">
        <v>126</v>
      </c>
      <c r="I215" s="58">
        <v>140</v>
      </c>
      <c r="J215" s="58">
        <v>53759</v>
      </c>
      <c r="K215" s="58">
        <v>46834</v>
      </c>
      <c r="L215" s="58">
        <v>277</v>
      </c>
      <c r="M215" s="56" t="s">
        <v>19</v>
      </c>
      <c r="N215" s="56"/>
      <c r="O215" s="56" t="s">
        <v>20</v>
      </c>
      <c r="P215" s="59">
        <f t="shared" si="6"/>
        <v>4.7099090384865788E-2</v>
      </c>
      <c r="Q215" s="4">
        <f t="shared" si="7"/>
        <v>2532</v>
      </c>
    </row>
    <row r="216" spans="1:17" ht="15.75" customHeight="1" x14ac:dyDescent="0.3">
      <c r="A216" s="55" t="s">
        <v>312</v>
      </c>
      <c r="B216" s="56" t="s">
        <v>22</v>
      </c>
      <c r="C216" s="57">
        <v>45676</v>
      </c>
      <c r="D216" s="56" t="s">
        <v>23</v>
      </c>
      <c r="E216" s="56" t="s">
        <v>24</v>
      </c>
      <c r="F216" s="56"/>
      <c r="G216" s="58">
        <v>3507</v>
      </c>
      <c r="H216" s="58">
        <v>295</v>
      </c>
      <c r="I216" s="58">
        <v>371</v>
      </c>
      <c r="J216" s="58">
        <v>20410</v>
      </c>
      <c r="K216" s="58">
        <v>53965</v>
      </c>
      <c r="L216" s="58">
        <v>212</v>
      </c>
      <c r="M216" s="56" t="s">
        <v>39</v>
      </c>
      <c r="N216" s="56" t="s">
        <v>36</v>
      </c>
      <c r="O216" s="56" t="s">
        <v>16</v>
      </c>
      <c r="P216" s="59">
        <f t="shared" si="6"/>
        <v>0.20445859872611466</v>
      </c>
      <c r="Q216" s="4">
        <f t="shared" si="7"/>
        <v>4173</v>
      </c>
    </row>
    <row r="217" spans="1:17" ht="15.75" customHeight="1" x14ac:dyDescent="0.3">
      <c r="A217" s="55" t="s">
        <v>292</v>
      </c>
      <c r="B217" s="56" t="s">
        <v>22</v>
      </c>
      <c r="C217" s="57">
        <v>45676</v>
      </c>
      <c r="D217" s="56" t="s">
        <v>23</v>
      </c>
      <c r="E217" s="56" t="s">
        <v>29</v>
      </c>
      <c r="F217" s="56"/>
      <c r="G217" s="58">
        <v>1651</v>
      </c>
      <c r="H217" s="58">
        <v>480</v>
      </c>
      <c r="I217" s="58">
        <v>282</v>
      </c>
      <c r="J217" s="58">
        <v>32140</v>
      </c>
      <c r="K217" s="58">
        <v>70560</v>
      </c>
      <c r="L217" s="58">
        <v>138</v>
      </c>
      <c r="M217" s="56" t="s">
        <v>39</v>
      </c>
      <c r="N217" s="56" t="s">
        <v>36</v>
      </c>
      <c r="O217" s="56" t="s">
        <v>16</v>
      </c>
      <c r="P217" s="59">
        <f t="shared" si="6"/>
        <v>7.5077784691972627E-2</v>
      </c>
      <c r="Q217" s="4">
        <f t="shared" si="7"/>
        <v>2413</v>
      </c>
    </row>
    <row r="218" spans="1:17" ht="15.75" customHeight="1" x14ac:dyDescent="0.3">
      <c r="A218" s="55" t="s">
        <v>139</v>
      </c>
      <c r="B218" s="56" t="s">
        <v>22</v>
      </c>
      <c r="C218" s="57">
        <v>45677</v>
      </c>
      <c r="D218" s="56" t="s">
        <v>23</v>
      </c>
      <c r="E218" s="56" t="s">
        <v>24</v>
      </c>
      <c r="F218" s="56"/>
      <c r="G218" s="58">
        <v>4619</v>
      </c>
      <c r="H218" s="58">
        <v>272</v>
      </c>
      <c r="I218" s="58">
        <v>57</v>
      </c>
      <c r="J218" s="58">
        <v>21334</v>
      </c>
      <c r="K218" s="58">
        <v>46292</v>
      </c>
      <c r="L218" s="58">
        <v>91</v>
      </c>
      <c r="M218" s="56" t="s">
        <v>39</v>
      </c>
      <c r="N218" s="56" t="s">
        <v>36</v>
      </c>
      <c r="O218" s="56" t="s">
        <v>16</v>
      </c>
      <c r="P218" s="59">
        <f t="shared" si="6"/>
        <v>0.23193025217961938</v>
      </c>
      <c r="Q218" s="4">
        <f t="shared" si="7"/>
        <v>4948</v>
      </c>
    </row>
    <row r="219" spans="1:17" ht="15.75" customHeight="1" x14ac:dyDescent="0.3">
      <c r="A219" s="60" t="s">
        <v>111</v>
      </c>
      <c r="B219" s="61" t="s">
        <v>22</v>
      </c>
      <c r="C219" s="62">
        <v>45678</v>
      </c>
      <c r="D219" s="61" t="s">
        <v>23</v>
      </c>
      <c r="E219" s="61" t="s">
        <v>15</v>
      </c>
      <c r="F219" s="61"/>
      <c r="G219" s="63">
        <v>2494</v>
      </c>
      <c r="H219" s="63">
        <v>494</v>
      </c>
      <c r="I219" s="63">
        <v>55</v>
      </c>
      <c r="J219" s="63">
        <v>22580</v>
      </c>
      <c r="K219" s="63">
        <v>22214</v>
      </c>
      <c r="L219" s="63">
        <v>109</v>
      </c>
      <c r="M219" s="61" t="s">
        <v>355</v>
      </c>
      <c r="N219" s="61" t="s">
        <v>36</v>
      </c>
      <c r="O219" s="61" t="s">
        <v>16</v>
      </c>
      <c r="P219" s="64">
        <f t="shared" si="6"/>
        <v>0.13476527900797167</v>
      </c>
      <c r="Q219" s="4">
        <f t="shared" si="7"/>
        <v>3043</v>
      </c>
    </row>
    <row r="220" spans="1:17" ht="15.75" customHeight="1" x14ac:dyDescent="0.3">
      <c r="A220" s="55" t="s">
        <v>322</v>
      </c>
      <c r="B220" s="56" t="s">
        <v>13</v>
      </c>
      <c r="C220" s="57">
        <v>45678</v>
      </c>
      <c r="D220" s="56" t="s">
        <v>23</v>
      </c>
      <c r="E220" s="56" t="s">
        <v>24</v>
      </c>
      <c r="F220" s="56"/>
      <c r="G220" s="58">
        <v>4918</v>
      </c>
      <c r="H220" s="58">
        <v>440</v>
      </c>
      <c r="I220" s="58">
        <v>149</v>
      </c>
      <c r="J220" s="58">
        <v>53269</v>
      </c>
      <c r="K220" s="58">
        <v>64370</v>
      </c>
      <c r="L220" s="58">
        <v>269</v>
      </c>
      <c r="M220" s="56" t="s">
        <v>36</v>
      </c>
      <c r="N220" s="56"/>
      <c r="O220" s="56" t="s">
        <v>49</v>
      </c>
      <c r="P220" s="59">
        <f t="shared" si="6"/>
        <v>0.10338095327488783</v>
      </c>
      <c r="Q220" s="4">
        <f t="shared" si="7"/>
        <v>5507</v>
      </c>
    </row>
    <row r="221" spans="1:17" ht="15.75" customHeight="1" x14ac:dyDescent="0.3">
      <c r="A221" s="60" t="s">
        <v>97</v>
      </c>
      <c r="B221" s="61" t="s">
        <v>22</v>
      </c>
      <c r="C221" s="62">
        <v>45679</v>
      </c>
      <c r="D221" s="61" t="s">
        <v>23</v>
      </c>
      <c r="E221" s="61" t="s">
        <v>24</v>
      </c>
      <c r="F221" s="61"/>
      <c r="G221" s="63">
        <v>4478</v>
      </c>
      <c r="H221" s="63">
        <v>101</v>
      </c>
      <c r="I221" s="63">
        <v>121</v>
      </c>
      <c r="J221" s="63">
        <v>51035</v>
      </c>
      <c r="K221" s="63">
        <v>58207</v>
      </c>
      <c r="L221" s="63">
        <v>205</v>
      </c>
      <c r="M221" s="61" t="s">
        <v>355</v>
      </c>
      <c r="N221" s="61" t="s">
        <v>36</v>
      </c>
      <c r="O221" s="61" t="s">
        <v>16</v>
      </c>
      <c r="P221" s="64">
        <f t="shared" si="6"/>
        <v>9.2093661212893113E-2</v>
      </c>
      <c r="Q221" s="4">
        <f t="shared" si="7"/>
        <v>4700</v>
      </c>
    </row>
    <row r="222" spans="1:17" ht="15.75" customHeight="1" x14ac:dyDescent="0.3">
      <c r="A222" s="55" t="s">
        <v>75</v>
      </c>
      <c r="B222" s="56" t="s">
        <v>13</v>
      </c>
      <c r="C222" s="57">
        <v>45683</v>
      </c>
      <c r="D222" s="56" t="s">
        <v>23</v>
      </c>
      <c r="E222" s="56" t="s">
        <v>360</v>
      </c>
      <c r="F222" s="56" t="s">
        <v>361</v>
      </c>
      <c r="G222" s="58">
        <v>3451</v>
      </c>
      <c r="H222" s="58">
        <v>363</v>
      </c>
      <c r="I222" s="58">
        <v>393</v>
      </c>
      <c r="J222" s="58">
        <v>44853</v>
      </c>
      <c r="K222" s="58">
        <v>69032</v>
      </c>
      <c r="L222" s="58">
        <v>211</v>
      </c>
      <c r="M222" s="56" t="s">
        <v>36</v>
      </c>
      <c r="N222" s="56"/>
      <c r="O222" s="56" t="s">
        <v>49</v>
      </c>
      <c r="P222" s="59">
        <f t="shared" si="6"/>
        <v>9.379528682585335E-2</v>
      </c>
      <c r="Q222" s="4">
        <f t="shared" si="7"/>
        <v>4207</v>
      </c>
    </row>
    <row r="223" spans="1:17" ht="15.75" customHeight="1" x14ac:dyDescent="0.3">
      <c r="A223" s="55" t="s">
        <v>200</v>
      </c>
      <c r="B223" s="56" t="s">
        <v>28</v>
      </c>
      <c r="C223" s="57">
        <v>45684</v>
      </c>
      <c r="D223" s="56" t="s">
        <v>14</v>
      </c>
      <c r="E223" s="56" t="s">
        <v>26</v>
      </c>
      <c r="F223" s="56"/>
      <c r="G223" s="58">
        <v>4294</v>
      </c>
      <c r="H223" s="58">
        <v>423</v>
      </c>
      <c r="I223" s="58">
        <v>93</v>
      </c>
      <c r="J223" s="58">
        <v>29828</v>
      </c>
      <c r="K223" s="58">
        <v>73144</v>
      </c>
      <c r="L223" s="58">
        <v>298</v>
      </c>
      <c r="M223" s="56" t="s">
        <v>19</v>
      </c>
      <c r="N223" s="56" t="s">
        <v>354</v>
      </c>
      <c r="O223" s="56" t="s">
        <v>20</v>
      </c>
      <c r="P223" s="59">
        <f t="shared" si="6"/>
        <v>0.1612578785034196</v>
      </c>
      <c r="Q223" s="4">
        <f t="shared" si="7"/>
        <v>4810</v>
      </c>
    </row>
    <row r="224" spans="1:17" ht="15.75" customHeight="1" x14ac:dyDescent="0.3">
      <c r="A224" s="55" t="s">
        <v>318</v>
      </c>
      <c r="B224" s="56" t="s">
        <v>28</v>
      </c>
      <c r="C224" s="57">
        <v>45686</v>
      </c>
      <c r="D224" s="56" t="s">
        <v>14</v>
      </c>
      <c r="E224" s="56" t="s">
        <v>24</v>
      </c>
      <c r="F224" s="56"/>
      <c r="G224" s="58">
        <v>1334</v>
      </c>
      <c r="H224" s="58">
        <v>357</v>
      </c>
      <c r="I224" s="58">
        <v>257</v>
      </c>
      <c r="J224" s="58">
        <v>56910</v>
      </c>
      <c r="K224" s="58">
        <v>70606</v>
      </c>
      <c r="L224" s="58">
        <v>228</v>
      </c>
      <c r="M224" s="56" t="s">
        <v>19</v>
      </c>
      <c r="N224" s="56" t="s">
        <v>354</v>
      </c>
      <c r="O224" s="56" t="s">
        <v>20</v>
      </c>
      <c r="P224" s="59">
        <f t="shared" si="6"/>
        <v>3.4229485151994379E-2</v>
      </c>
      <c r="Q224" s="4">
        <f t="shared" si="7"/>
        <v>1948</v>
      </c>
    </row>
    <row r="225" spans="1:17" ht="15.75" customHeight="1" x14ac:dyDescent="0.3">
      <c r="A225" s="60" t="s">
        <v>17</v>
      </c>
      <c r="B225" s="61" t="s">
        <v>13</v>
      </c>
      <c r="C225" s="62">
        <v>45689</v>
      </c>
      <c r="D225" s="61" t="s">
        <v>14</v>
      </c>
      <c r="E225" s="61" t="s">
        <v>18</v>
      </c>
      <c r="F225" s="61"/>
      <c r="G225" s="63">
        <v>1934</v>
      </c>
      <c r="H225" s="63">
        <v>210</v>
      </c>
      <c r="I225" s="63">
        <v>393</v>
      </c>
      <c r="J225" s="63">
        <v>29129</v>
      </c>
      <c r="K225" s="63">
        <v>73287</v>
      </c>
      <c r="L225" s="63">
        <v>273</v>
      </c>
      <c r="M225" s="61" t="s">
        <v>19</v>
      </c>
      <c r="N225" s="61"/>
      <c r="O225" s="61" t="s">
        <v>20</v>
      </c>
      <c r="P225" s="64">
        <f t="shared" si="6"/>
        <v>8.7095334546328396E-2</v>
      </c>
      <c r="Q225" s="4">
        <f t="shared" si="7"/>
        <v>2537</v>
      </c>
    </row>
    <row r="226" spans="1:17" ht="15.75" customHeight="1" x14ac:dyDescent="0.3">
      <c r="A226" s="60" t="s">
        <v>231</v>
      </c>
      <c r="B226" s="61" t="s">
        <v>22</v>
      </c>
      <c r="C226" s="62">
        <v>45689</v>
      </c>
      <c r="D226" s="61" t="s">
        <v>23</v>
      </c>
      <c r="E226" s="61" t="s">
        <v>35</v>
      </c>
      <c r="F226" s="61"/>
      <c r="G226" s="63">
        <v>1079</v>
      </c>
      <c r="H226" s="63">
        <v>265</v>
      </c>
      <c r="I226" s="63">
        <v>190</v>
      </c>
      <c r="J226" s="63">
        <v>43786</v>
      </c>
      <c r="K226" s="63">
        <v>72428</v>
      </c>
      <c r="L226" s="63">
        <v>222</v>
      </c>
      <c r="M226" s="61" t="s">
        <v>39</v>
      </c>
      <c r="N226" s="61" t="s">
        <v>36</v>
      </c>
      <c r="O226" s="61" t="s">
        <v>16</v>
      </c>
      <c r="P226" s="64">
        <f t="shared" si="6"/>
        <v>3.5034029141734799E-2</v>
      </c>
      <c r="Q226" s="4">
        <f t="shared" si="7"/>
        <v>1534</v>
      </c>
    </row>
    <row r="227" spans="1:17" ht="15.75" customHeight="1" x14ac:dyDescent="0.3">
      <c r="A227" s="55" t="s">
        <v>287</v>
      </c>
      <c r="B227" s="56" t="s">
        <v>22</v>
      </c>
      <c r="C227" s="57">
        <v>45691</v>
      </c>
      <c r="D227" s="56" t="s">
        <v>14</v>
      </c>
      <c r="E227" s="56" t="s">
        <v>360</v>
      </c>
      <c r="F227" s="56" t="s">
        <v>361</v>
      </c>
      <c r="G227" s="58">
        <v>4995</v>
      </c>
      <c r="H227" s="58">
        <v>231</v>
      </c>
      <c r="I227" s="58">
        <v>94</v>
      </c>
      <c r="J227" s="58">
        <v>34431</v>
      </c>
      <c r="K227" s="58">
        <v>32560</v>
      </c>
      <c r="L227" s="58">
        <v>262</v>
      </c>
      <c r="M227" s="56" t="s">
        <v>36</v>
      </c>
      <c r="N227" s="56"/>
      <c r="O227" s="56" t="s">
        <v>16</v>
      </c>
      <c r="P227" s="59">
        <f t="shared" si="6"/>
        <v>0.15451192239551567</v>
      </c>
      <c r="Q227" s="4">
        <f t="shared" si="7"/>
        <v>5320</v>
      </c>
    </row>
    <row r="228" spans="1:17" ht="15.75" customHeight="1" x14ac:dyDescent="0.3">
      <c r="A228" s="60" t="s">
        <v>310</v>
      </c>
      <c r="B228" s="61" t="s">
        <v>13</v>
      </c>
      <c r="C228" s="62">
        <v>45691</v>
      </c>
      <c r="D228" s="61" t="s">
        <v>23</v>
      </c>
      <c r="E228" s="61" t="s">
        <v>24</v>
      </c>
      <c r="F228" s="61"/>
      <c r="G228" s="63">
        <v>1205</v>
      </c>
      <c r="H228" s="63">
        <v>486</v>
      </c>
      <c r="I228" s="63">
        <v>269</v>
      </c>
      <c r="J228" s="63">
        <v>23341</v>
      </c>
      <c r="K228" s="63">
        <v>42411</v>
      </c>
      <c r="L228" s="63">
        <v>184</v>
      </c>
      <c r="M228" s="61" t="s">
        <v>36</v>
      </c>
      <c r="N228" s="61"/>
      <c r="O228" s="61" t="s">
        <v>49</v>
      </c>
      <c r="P228" s="64">
        <f t="shared" si="6"/>
        <v>8.3972409065592737E-2</v>
      </c>
      <c r="Q228" s="4">
        <f t="shared" si="7"/>
        <v>1960</v>
      </c>
    </row>
    <row r="229" spans="1:17" ht="15.75" customHeight="1" x14ac:dyDescent="0.3">
      <c r="A229" s="55" t="s">
        <v>81</v>
      </c>
      <c r="B229" s="56" t="s">
        <v>13</v>
      </c>
      <c r="C229" s="57">
        <v>45693</v>
      </c>
      <c r="D229" s="56" t="s">
        <v>23</v>
      </c>
      <c r="E229" s="56" t="s">
        <v>29</v>
      </c>
      <c r="F229" s="56"/>
      <c r="G229" s="58">
        <v>3074</v>
      </c>
      <c r="H229" s="58">
        <v>371</v>
      </c>
      <c r="I229" s="58">
        <v>348</v>
      </c>
      <c r="J229" s="58">
        <v>24104</v>
      </c>
      <c r="K229" s="58">
        <v>57803</v>
      </c>
      <c r="L229" s="58">
        <v>213</v>
      </c>
      <c r="M229" s="56" t="s">
        <v>36</v>
      </c>
      <c r="N229" s="56"/>
      <c r="O229" s="56" t="s">
        <v>49</v>
      </c>
      <c r="P229" s="59">
        <f t="shared" si="6"/>
        <v>0.15735977431131762</v>
      </c>
      <c r="Q229" s="4">
        <f t="shared" si="7"/>
        <v>3793</v>
      </c>
    </row>
    <row r="230" spans="1:17" ht="15.75" customHeight="1" x14ac:dyDescent="0.3">
      <c r="A230" s="60" t="s">
        <v>304</v>
      </c>
      <c r="B230" s="61" t="s">
        <v>22</v>
      </c>
      <c r="C230" s="62">
        <v>45693</v>
      </c>
      <c r="D230" s="61" t="s">
        <v>23</v>
      </c>
      <c r="E230" s="61" t="s">
        <v>15</v>
      </c>
      <c r="F230" s="61"/>
      <c r="G230" s="63">
        <v>3029</v>
      </c>
      <c r="H230" s="63">
        <v>440</v>
      </c>
      <c r="I230" s="63">
        <v>66</v>
      </c>
      <c r="J230" s="63">
        <v>23815</v>
      </c>
      <c r="K230" s="63">
        <v>47895</v>
      </c>
      <c r="L230" s="63">
        <v>210</v>
      </c>
      <c r="M230" s="61" t="s">
        <v>19</v>
      </c>
      <c r="N230" s="61" t="s">
        <v>355</v>
      </c>
      <c r="O230" s="61" t="s">
        <v>16</v>
      </c>
      <c r="P230" s="64">
        <f t="shared" si="6"/>
        <v>0.14843585975225698</v>
      </c>
      <c r="Q230" s="4">
        <f t="shared" si="7"/>
        <v>3535</v>
      </c>
    </row>
    <row r="231" spans="1:17" ht="15.75" customHeight="1" x14ac:dyDescent="0.3">
      <c r="A231" s="55" t="s">
        <v>181</v>
      </c>
      <c r="B231" s="56" t="s">
        <v>22</v>
      </c>
      <c r="C231" s="57">
        <v>45696</v>
      </c>
      <c r="D231" s="56" t="s">
        <v>23</v>
      </c>
      <c r="E231" s="56" t="s">
        <v>45</v>
      </c>
      <c r="F231" s="56"/>
      <c r="G231" s="58">
        <v>4752</v>
      </c>
      <c r="H231" s="58">
        <v>334</v>
      </c>
      <c r="I231" s="58">
        <v>56</v>
      </c>
      <c r="J231" s="58">
        <v>48017</v>
      </c>
      <c r="K231" s="58">
        <v>55534</v>
      </c>
      <c r="L231" s="58">
        <v>270</v>
      </c>
      <c r="M231" s="56" t="s">
        <v>19</v>
      </c>
      <c r="N231" s="56" t="s">
        <v>355</v>
      </c>
      <c r="O231" s="56" t="s">
        <v>16</v>
      </c>
      <c r="P231" s="59">
        <f t="shared" si="6"/>
        <v>0.10708707332819627</v>
      </c>
      <c r="Q231" s="4">
        <f t="shared" si="7"/>
        <v>5142</v>
      </c>
    </row>
    <row r="232" spans="1:17" ht="15.75" customHeight="1" x14ac:dyDescent="0.3">
      <c r="A232" s="55" t="s">
        <v>76</v>
      </c>
      <c r="B232" s="56" t="s">
        <v>13</v>
      </c>
      <c r="C232" s="57">
        <v>45702</v>
      </c>
      <c r="D232" s="56" t="s">
        <v>14</v>
      </c>
      <c r="E232" s="56" t="s">
        <v>35</v>
      </c>
      <c r="F232" s="56"/>
      <c r="G232" s="58">
        <v>4891</v>
      </c>
      <c r="H232" s="58">
        <v>450</v>
      </c>
      <c r="I232" s="58">
        <v>387</v>
      </c>
      <c r="J232" s="58">
        <v>48746</v>
      </c>
      <c r="K232" s="58">
        <v>37312</v>
      </c>
      <c r="L232" s="58">
        <v>154</v>
      </c>
      <c r="M232" s="56" t="s">
        <v>39</v>
      </c>
      <c r="N232" s="56" t="s">
        <v>36</v>
      </c>
      <c r="O232" s="56" t="s">
        <v>16</v>
      </c>
      <c r="P232" s="59">
        <f t="shared" si="6"/>
        <v>0.11750707750379519</v>
      </c>
      <c r="Q232" s="4">
        <f t="shared" si="7"/>
        <v>5728</v>
      </c>
    </row>
    <row r="233" spans="1:17" ht="15.75" customHeight="1" x14ac:dyDescent="0.3">
      <c r="A233" s="55" t="s">
        <v>177</v>
      </c>
      <c r="B233" s="56" t="s">
        <v>13</v>
      </c>
      <c r="C233" s="57">
        <v>45702</v>
      </c>
      <c r="D233" s="56" t="s">
        <v>14</v>
      </c>
      <c r="E233" s="56" t="s">
        <v>15</v>
      </c>
      <c r="F233" s="56"/>
      <c r="G233" s="58">
        <v>2329</v>
      </c>
      <c r="H233" s="58">
        <v>373</v>
      </c>
      <c r="I233" s="58">
        <v>291</v>
      </c>
      <c r="J233" s="58">
        <v>49577</v>
      </c>
      <c r="K233" s="58">
        <v>28002</v>
      </c>
      <c r="L233" s="58">
        <v>82</v>
      </c>
      <c r="M233" s="56" t="s">
        <v>39</v>
      </c>
      <c r="N233" s="56" t="s">
        <v>36</v>
      </c>
      <c r="O233" s="56" t="s">
        <v>16</v>
      </c>
      <c r="P233" s="59">
        <f t="shared" si="6"/>
        <v>6.0370736430199488E-2</v>
      </c>
      <c r="Q233" s="4">
        <f t="shared" si="7"/>
        <v>2993</v>
      </c>
    </row>
    <row r="234" spans="1:17" ht="15.75" customHeight="1" x14ac:dyDescent="0.3">
      <c r="A234" s="60" t="s">
        <v>145</v>
      </c>
      <c r="B234" s="61" t="s">
        <v>13</v>
      </c>
      <c r="C234" s="62">
        <v>45704</v>
      </c>
      <c r="D234" s="61" t="s">
        <v>14</v>
      </c>
      <c r="E234" s="61" t="s">
        <v>45</v>
      </c>
      <c r="F234" s="61"/>
      <c r="G234" s="63">
        <v>1333</v>
      </c>
      <c r="H234" s="63">
        <v>286</v>
      </c>
      <c r="I234" s="63">
        <v>298</v>
      </c>
      <c r="J234" s="63">
        <v>36174</v>
      </c>
      <c r="K234" s="63">
        <v>34517</v>
      </c>
      <c r="L234" s="63">
        <v>170</v>
      </c>
      <c r="M234" s="61" t="s">
        <v>39</v>
      </c>
      <c r="N234" s="61" t="s">
        <v>36</v>
      </c>
      <c r="O234" s="61" t="s">
        <v>16</v>
      </c>
      <c r="P234" s="64">
        <f t="shared" si="6"/>
        <v>5.2993862995521647E-2</v>
      </c>
      <c r="Q234" s="4">
        <f t="shared" si="7"/>
        <v>1917</v>
      </c>
    </row>
    <row r="235" spans="1:17" ht="15.75" customHeight="1" x14ac:dyDescent="0.3">
      <c r="A235" s="60" t="s">
        <v>121</v>
      </c>
      <c r="B235" s="61" t="s">
        <v>22</v>
      </c>
      <c r="C235" s="62">
        <v>45705</v>
      </c>
      <c r="D235" s="61" t="s">
        <v>23</v>
      </c>
      <c r="E235" s="61" t="s">
        <v>360</v>
      </c>
      <c r="F235" s="61" t="s">
        <v>361</v>
      </c>
      <c r="G235" s="63">
        <v>4796</v>
      </c>
      <c r="H235" s="63">
        <v>427</v>
      </c>
      <c r="I235" s="63">
        <v>339</v>
      </c>
      <c r="J235" s="63">
        <v>30752</v>
      </c>
      <c r="K235" s="63">
        <v>33870</v>
      </c>
      <c r="L235" s="63">
        <v>298</v>
      </c>
      <c r="M235" s="61" t="s">
        <v>39</v>
      </c>
      <c r="N235" s="61" t="s">
        <v>36</v>
      </c>
      <c r="O235" s="61" t="s">
        <v>16</v>
      </c>
      <c r="P235" s="64">
        <f t="shared" si="6"/>
        <v>0.18086628511966701</v>
      </c>
      <c r="Q235" s="4">
        <f t="shared" si="7"/>
        <v>5562</v>
      </c>
    </row>
    <row r="236" spans="1:17" ht="15.75" customHeight="1" x14ac:dyDescent="0.3">
      <c r="A236" s="55" t="s">
        <v>89</v>
      </c>
      <c r="B236" s="56" t="s">
        <v>13</v>
      </c>
      <c r="C236" s="57">
        <v>45707</v>
      </c>
      <c r="D236" s="56" t="s">
        <v>23</v>
      </c>
      <c r="E236" s="56" t="s">
        <v>43</v>
      </c>
      <c r="F236" s="56"/>
      <c r="G236" s="58">
        <v>2422</v>
      </c>
      <c r="H236" s="58">
        <v>455</v>
      </c>
      <c r="I236" s="58">
        <v>376</v>
      </c>
      <c r="J236" s="58">
        <v>23428</v>
      </c>
      <c r="K236" s="58">
        <v>46775</v>
      </c>
      <c r="L236" s="58">
        <v>259</v>
      </c>
      <c r="M236" s="56" t="s">
        <v>36</v>
      </c>
      <c r="N236" s="56"/>
      <c r="O236" s="56" t="s">
        <v>49</v>
      </c>
      <c r="P236" s="59">
        <f t="shared" si="6"/>
        <v>0.13885094758408742</v>
      </c>
      <c r="Q236" s="4">
        <f t="shared" si="7"/>
        <v>3253</v>
      </c>
    </row>
    <row r="237" spans="1:17" ht="15.75" customHeight="1" x14ac:dyDescent="0.3">
      <c r="A237" s="55" t="s">
        <v>222</v>
      </c>
      <c r="B237" s="56" t="s">
        <v>28</v>
      </c>
      <c r="C237" s="57">
        <v>45708</v>
      </c>
      <c r="D237" s="56" t="s">
        <v>51</v>
      </c>
      <c r="E237" s="56" t="s">
        <v>32</v>
      </c>
      <c r="F237" s="56"/>
      <c r="G237" s="58">
        <v>4957</v>
      </c>
      <c r="H237" s="58">
        <v>262</v>
      </c>
      <c r="I237" s="58">
        <v>365</v>
      </c>
      <c r="J237" s="58">
        <v>49199</v>
      </c>
      <c r="K237" s="58">
        <v>40314</v>
      </c>
      <c r="L237" s="58">
        <v>216</v>
      </c>
      <c r="M237" s="56" t="s">
        <v>19</v>
      </c>
      <c r="N237" s="56" t="s">
        <v>39</v>
      </c>
      <c r="O237" s="56" t="s">
        <v>52</v>
      </c>
      <c r="P237" s="59">
        <f t="shared" si="6"/>
        <v>0.11349824183418362</v>
      </c>
      <c r="Q237" s="4">
        <f t="shared" si="7"/>
        <v>5584</v>
      </c>
    </row>
    <row r="238" spans="1:17" ht="15.75" customHeight="1" x14ac:dyDescent="0.3">
      <c r="A238" s="60" t="s">
        <v>190</v>
      </c>
      <c r="B238" s="61" t="s">
        <v>28</v>
      </c>
      <c r="C238" s="62">
        <v>45718</v>
      </c>
      <c r="D238" s="61" t="s">
        <v>14</v>
      </c>
      <c r="E238" s="61" t="s">
        <v>43</v>
      </c>
      <c r="F238" s="61"/>
      <c r="G238" s="63">
        <v>4425</v>
      </c>
      <c r="H238" s="63">
        <v>185</v>
      </c>
      <c r="I238" s="63">
        <v>162</v>
      </c>
      <c r="J238" s="63">
        <v>24610</v>
      </c>
      <c r="K238" s="63">
        <v>21342</v>
      </c>
      <c r="L238" s="63">
        <v>158</v>
      </c>
      <c r="M238" s="61" t="s">
        <v>19</v>
      </c>
      <c r="N238" s="61" t="s">
        <v>354</v>
      </c>
      <c r="O238" s="61" t="s">
        <v>20</v>
      </c>
      <c r="P238" s="64">
        <f t="shared" si="6"/>
        <v>0.19390491670052823</v>
      </c>
      <c r="Q238" s="4">
        <f t="shared" si="7"/>
        <v>4772</v>
      </c>
    </row>
    <row r="239" spans="1:17" ht="15.75" customHeight="1" x14ac:dyDescent="0.3">
      <c r="A239" s="60" t="s">
        <v>309</v>
      </c>
      <c r="B239" s="61" t="s">
        <v>22</v>
      </c>
      <c r="C239" s="62">
        <v>45720</v>
      </c>
      <c r="D239" s="61" t="s">
        <v>14</v>
      </c>
      <c r="E239" s="61" t="s">
        <v>15</v>
      </c>
      <c r="F239" s="61"/>
      <c r="G239" s="63">
        <v>2177</v>
      </c>
      <c r="H239" s="63">
        <v>258</v>
      </c>
      <c r="I239" s="63">
        <v>292</v>
      </c>
      <c r="J239" s="63">
        <v>47276</v>
      </c>
      <c r="K239" s="63">
        <v>51324</v>
      </c>
      <c r="L239" s="63">
        <v>143</v>
      </c>
      <c r="M239" s="61" t="s">
        <v>36</v>
      </c>
      <c r="N239" s="61"/>
      <c r="O239" s="61" t="s">
        <v>16</v>
      </c>
      <c r="P239" s="64">
        <f t="shared" si="6"/>
        <v>5.7682545054573146E-2</v>
      </c>
      <c r="Q239" s="4">
        <f t="shared" si="7"/>
        <v>2727</v>
      </c>
    </row>
    <row r="240" spans="1:17" ht="15.75" customHeight="1" x14ac:dyDescent="0.3">
      <c r="A240" s="60" t="s">
        <v>87</v>
      </c>
      <c r="B240" s="61" t="s">
        <v>13</v>
      </c>
      <c r="C240" s="62">
        <v>45722</v>
      </c>
      <c r="D240" s="61" t="s">
        <v>14</v>
      </c>
      <c r="E240" s="61" t="s">
        <v>32</v>
      </c>
      <c r="F240" s="61"/>
      <c r="G240" s="63">
        <v>4851</v>
      </c>
      <c r="H240" s="63">
        <v>460</v>
      </c>
      <c r="I240" s="63">
        <v>212</v>
      </c>
      <c r="J240" s="63">
        <v>58075</v>
      </c>
      <c r="K240" s="63">
        <v>59574</v>
      </c>
      <c r="L240" s="63">
        <v>239</v>
      </c>
      <c r="M240" s="61" t="s">
        <v>19</v>
      </c>
      <c r="N240" s="61"/>
      <c r="O240" s="61" t="s">
        <v>20</v>
      </c>
      <c r="P240" s="64">
        <f t="shared" si="6"/>
        <v>9.5101162290142052E-2</v>
      </c>
      <c r="Q240" s="4">
        <f t="shared" si="7"/>
        <v>5523</v>
      </c>
    </row>
    <row r="241" spans="1:17" ht="15.75" customHeight="1" x14ac:dyDescent="0.3">
      <c r="A241" s="55" t="s">
        <v>265</v>
      </c>
      <c r="B241" s="56" t="s">
        <v>28</v>
      </c>
      <c r="C241" s="57">
        <v>45723</v>
      </c>
      <c r="D241" s="56" t="s">
        <v>14</v>
      </c>
      <c r="E241" s="56" t="s">
        <v>35</v>
      </c>
      <c r="F241" s="56"/>
      <c r="G241" s="58">
        <v>4310</v>
      </c>
      <c r="H241" s="58">
        <v>284</v>
      </c>
      <c r="I241" s="58">
        <v>306</v>
      </c>
      <c r="J241" s="58">
        <v>44606</v>
      </c>
      <c r="K241" s="58">
        <v>42604</v>
      </c>
      <c r="L241" s="58">
        <v>290</v>
      </c>
      <c r="M241" s="56" t="s">
        <v>19</v>
      </c>
      <c r="N241" s="56" t="s">
        <v>354</v>
      </c>
      <c r="O241" s="56" t="s">
        <v>20</v>
      </c>
      <c r="P241" s="59">
        <f t="shared" si="6"/>
        <v>0.10985069273191947</v>
      </c>
      <c r="Q241" s="4">
        <f t="shared" si="7"/>
        <v>4900</v>
      </c>
    </row>
    <row r="242" spans="1:17" ht="15.75" customHeight="1" x14ac:dyDescent="0.3">
      <c r="A242" s="55" t="s">
        <v>114</v>
      </c>
      <c r="B242" s="56" t="s">
        <v>22</v>
      </c>
      <c r="C242" s="57">
        <v>45723</v>
      </c>
      <c r="D242" s="56" t="s">
        <v>14</v>
      </c>
      <c r="E242" s="56" t="s">
        <v>32</v>
      </c>
      <c r="F242" s="56"/>
      <c r="G242" s="58">
        <v>4234</v>
      </c>
      <c r="H242" s="58">
        <v>486</v>
      </c>
      <c r="I242" s="58">
        <v>276</v>
      </c>
      <c r="J242" s="58">
        <v>56623</v>
      </c>
      <c r="K242" s="58">
        <v>41343</v>
      </c>
      <c r="L242" s="58">
        <v>184</v>
      </c>
      <c r="M242" s="56" t="s">
        <v>39</v>
      </c>
      <c r="N242" s="56"/>
      <c r="O242" s="56" t="s">
        <v>20</v>
      </c>
      <c r="P242" s="59">
        <f t="shared" si="6"/>
        <v>8.8232696960599044E-2</v>
      </c>
      <c r="Q242" s="4">
        <f t="shared" si="7"/>
        <v>4996</v>
      </c>
    </row>
    <row r="243" spans="1:17" ht="15.75" customHeight="1" x14ac:dyDescent="0.3">
      <c r="A243" s="55" t="s">
        <v>328</v>
      </c>
      <c r="B243" s="56" t="s">
        <v>13</v>
      </c>
      <c r="C243" s="57">
        <v>45724</v>
      </c>
      <c r="D243" s="56" t="s">
        <v>23</v>
      </c>
      <c r="E243" s="56" t="s">
        <v>35</v>
      </c>
      <c r="F243" s="56"/>
      <c r="G243" s="58">
        <v>2244</v>
      </c>
      <c r="H243" s="58">
        <v>392</v>
      </c>
      <c r="I243" s="58">
        <v>231</v>
      </c>
      <c r="J243" s="58">
        <v>25834</v>
      </c>
      <c r="K243" s="58">
        <v>50906</v>
      </c>
      <c r="L243" s="58">
        <v>165</v>
      </c>
      <c r="M243" s="56" t="s">
        <v>36</v>
      </c>
      <c r="N243" s="56"/>
      <c r="O243" s="56" t="s">
        <v>49</v>
      </c>
      <c r="P243" s="59">
        <f t="shared" si="6"/>
        <v>0.1109777812185492</v>
      </c>
      <c r="Q243" s="4">
        <f t="shared" si="7"/>
        <v>2867</v>
      </c>
    </row>
    <row r="244" spans="1:17" ht="15.75" customHeight="1" x14ac:dyDescent="0.3">
      <c r="A244" s="60" t="s">
        <v>172</v>
      </c>
      <c r="B244" s="61" t="s">
        <v>22</v>
      </c>
      <c r="C244" s="62">
        <v>45725</v>
      </c>
      <c r="D244" s="61" t="s">
        <v>14</v>
      </c>
      <c r="E244" s="61" t="s">
        <v>45</v>
      </c>
      <c r="F244" s="61"/>
      <c r="G244" s="63">
        <v>2754</v>
      </c>
      <c r="H244" s="63">
        <v>215</v>
      </c>
      <c r="I244" s="63">
        <v>264</v>
      </c>
      <c r="J244" s="63">
        <v>27762</v>
      </c>
      <c r="K244" s="63">
        <v>70203</v>
      </c>
      <c r="L244" s="63">
        <v>289</v>
      </c>
      <c r="M244" s="61" t="s">
        <v>36</v>
      </c>
      <c r="N244" s="61"/>
      <c r="O244" s="61" t="s">
        <v>16</v>
      </c>
      <c r="P244" s="64">
        <f t="shared" si="6"/>
        <v>0.11645414595490239</v>
      </c>
      <c r="Q244" s="4">
        <f t="shared" si="7"/>
        <v>3233</v>
      </c>
    </row>
    <row r="245" spans="1:17" ht="15.75" customHeight="1" x14ac:dyDescent="0.3">
      <c r="A245" s="60" t="s">
        <v>62</v>
      </c>
      <c r="B245" s="61" t="s">
        <v>22</v>
      </c>
      <c r="C245" s="62">
        <v>45734</v>
      </c>
      <c r="D245" s="61" t="s">
        <v>23</v>
      </c>
      <c r="E245" s="61" t="s">
        <v>18</v>
      </c>
      <c r="F245" s="61"/>
      <c r="G245" s="63">
        <v>3418</v>
      </c>
      <c r="H245" s="63">
        <v>188</v>
      </c>
      <c r="I245" s="63">
        <v>387</v>
      </c>
      <c r="J245" s="63">
        <v>57431</v>
      </c>
      <c r="K245" s="63">
        <v>36933</v>
      </c>
      <c r="L245" s="63">
        <v>202</v>
      </c>
      <c r="M245" s="61" t="s">
        <v>355</v>
      </c>
      <c r="N245" s="61" t="s">
        <v>36</v>
      </c>
      <c r="O245" s="61" t="s">
        <v>16</v>
      </c>
      <c r="P245" s="64">
        <f t="shared" si="6"/>
        <v>6.9526910553533799E-2</v>
      </c>
      <c r="Q245" s="4">
        <f t="shared" si="7"/>
        <v>3993</v>
      </c>
    </row>
    <row r="246" spans="1:17" ht="15.75" customHeight="1" x14ac:dyDescent="0.3">
      <c r="A246" s="60" t="s">
        <v>329</v>
      </c>
      <c r="B246" s="61" t="s">
        <v>22</v>
      </c>
      <c r="C246" s="62">
        <v>45736</v>
      </c>
      <c r="D246" s="61" t="s">
        <v>23</v>
      </c>
      <c r="E246" s="61" t="s">
        <v>45</v>
      </c>
      <c r="F246" s="61"/>
      <c r="G246" s="63">
        <v>3393</v>
      </c>
      <c r="H246" s="63">
        <v>104</v>
      </c>
      <c r="I246" s="63">
        <v>79</v>
      </c>
      <c r="J246" s="63">
        <v>30025</v>
      </c>
      <c r="K246" s="63">
        <v>21593</v>
      </c>
      <c r="L246" s="63">
        <v>165</v>
      </c>
      <c r="M246" s="61" t="s">
        <v>355</v>
      </c>
      <c r="N246" s="61" t="s">
        <v>36</v>
      </c>
      <c r="O246" s="61" t="s">
        <v>16</v>
      </c>
      <c r="P246" s="64">
        <f t="shared" si="6"/>
        <v>0.1191007493755204</v>
      </c>
      <c r="Q246" s="4">
        <f t="shared" si="7"/>
        <v>3576</v>
      </c>
    </row>
    <row r="247" spans="1:17" ht="15.75" customHeight="1" x14ac:dyDescent="0.3">
      <c r="A247" s="55" t="s">
        <v>164</v>
      </c>
      <c r="B247" s="56" t="s">
        <v>22</v>
      </c>
      <c r="C247" s="57">
        <v>45736</v>
      </c>
      <c r="D247" s="56" t="s">
        <v>14</v>
      </c>
      <c r="E247" s="56" t="s">
        <v>45</v>
      </c>
      <c r="F247" s="56"/>
      <c r="G247" s="58">
        <v>1564</v>
      </c>
      <c r="H247" s="58">
        <v>362</v>
      </c>
      <c r="I247" s="58">
        <v>371</v>
      </c>
      <c r="J247" s="58">
        <v>42075</v>
      </c>
      <c r="K247" s="58">
        <v>66659</v>
      </c>
      <c r="L247" s="58">
        <v>205</v>
      </c>
      <c r="M247" s="56" t="s">
        <v>39</v>
      </c>
      <c r="N247" s="56"/>
      <c r="O247" s="56" t="s">
        <v>20</v>
      </c>
      <c r="P247" s="59">
        <f t="shared" si="6"/>
        <v>5.4592988710635768E-2</v>
      </c>
      <c r="Q247" s="4">
        <f t="shared" si="7"/>
        <v>2297</v>
      </c>
    </row>
    <row r="248" spans="1:17" ht="15.75" customHeight="1" x14ac:dyDescent="0.3">
      <c r="A248" s="55" t="s">
        <v>291</v>
      </c>
      <c r="B248" s="56" t="s">
        <v>28</v>
      </c>
      <c r="C248" s="57">
        <v>45736</v>
      </c>
      <c r="D248" s="56" t="s">
        <v>51</v>
      </c>
      <c r="E248" s="56" t="s">
        <v>43</v>
      </c>
      <c r="F248" s="56"/>
      <c r="G248" s="58">
        <v>1453</v>
      </c>
      <c r="H248" s="58">
        <v>156</v>
      </c>
      <c r="I248" s="58">
        <v>178</v>
      </c>
      <c r="J248" s="58">
        <v>52980</v>
      </c>
      <c r="K248" s="58">
        <v>57180</v>
      </c>
      <c r="L248" s="58">
        <v>286</v>
      </c>
      <c r="M248" s="56" t="s">
        <v>19</v>
      </c>
      <c r="N248" s="56" t="s">
        <v>39</v>
      </c>
      <c r="O248" s="56" t="s">
        <v>52</v>
      </c>
      <c r="P248" s="59">
        <f t="shared" si="6"/>
        <v>3.3729709324273313E-2</v>
      </c>
      <c r="Q248" s="4">
        <f t="shared" si="7"/>
        <v>1787</v>
      </c>
    </row>
    <row r="249" spans="1:17" ht="15.75" customHeight="1" x14ac:dyDescent="0.3">
      <c r="A249" s="60" t="s">
        <v>191</v>
      </c>
      <c r="B249" s="61" t="s">
        <v>22</v>
      </c>
      <c r="C249" s="62">
        <v>45737</v>
      </c>
      <c r="D249" s="61" t="s">
        <v>23</v>
      </c>
      <c r="E249" s="61" t="s">
        <v>24</v>
      </c>
      <c r="F249" s="61"/>
      <c r="G249" s="63">
        <v>4609</v>
      </c>
      <c r="H249" s="63">
        <v>427</v>
      </c>
      <c r="I249" s="63">
        <v>395</v>
      </c>
      <c r="J249" s="63">
        <v>33698</v>
      </c>
      <c r="K249" s="63">
        <v>29259</v>
      </c>
      <c r="L249" s="63">
        <v>216</v>
      </c>
      <c r="M249" s="61" t="s">
        <v>19</v>
      </c>
      <c r="N249" s="61" t="s">
        <v>355</v>
      </c>
      <c r="O249" s="61" t="s">
        <v>16</v>
      </c>
      <c r="P249" s="64">
        <f t="shared" si="6"/>
        <v>0.16116683482699271</v>
      </c>
      <c r="Q249" s="4">
        <f t="shared" si="7"/>
        <v>5431</v>
      </c>
    </row>
    <row r="250" spans="1:17" ht="15.75" customHeight="1" x14ac:dyDescent="0.3">
      <c r="A250" s="55" t="s">
        <v>260</v>
      </c>
      <c r="B250" s="56" t="s">
        <v>28</v>
      </c>
      <c r="C250" s="57">
        <v>45738</v>
      </c>
      <c r="D250" s="56" t="s">
        <v>14</v>
      </c>
      <c r="E250" s="56" t="s">
        <v>29</v>
      </c>
      <c r="F250" s="56"/>
      <c r="G250" s="58">
        <v>4308</v>
      </c>
      <c r="H250" s="58">
        <v>171</v>
      </c>
      <c r="I250" s="58">
        <v>106</v>
      </c>
      <c r="J250" s="58">
        <v>36955</v>
      </c>
      <c r="K250" s="58">
        <v>23949</v>
      </c>
      <c r="L250" s="58">
        <v>294</v>
      </c>
      <c r="M250" s="56" t="s">
        <v>19</v>
      </c>
      <c r="N250" s="56" t="s">
        <v>354</v>
      </c>
      <c r="O250" s="56" t="s">
        <v>20</v>
      </c>
      <c r="P250" s="59">
        <f t="shared" si="6"/>
        <v>0.12406981463942633</v>
      </c>
      <c r="Q250" s="4">
        <f t="shared" si="7"/>
        <v>4585</v>
      </c>
    </row>
    <row r="251" spans="1:17" ht="15.75" customHeight="1" x14ac:dyDescent="0.3">
      <c r="A251" s="60" t="s">
        <v>208</v>
      </c>
      <c r="B251" s="61" t="s">
        <v>22</v>
      </c>
      <c r="C251" s="62">
        <v>45748</v>
      </c>
      <c r="D251" s="61" t="s">
        <v>23</v>
      </c>
      <c r="E251" s="61" t="s">
        <v>29</v>
      </c>
      <c r="F251" s="61"/>
      <c r="G251" s="63">
        <v>2665</v>
      </c>
      <c r="H251" s="63">
        <v>143</v>
      </c>
      <c r="I251" s="63">
        <v>315</v>
      </c>
      <c r="J251" s="63">
        <v>54808</v>
      </c>
      <c r="K251" s="63">
        <v>29818</v>
      </c>
      <c r="L251" s="63">
        <v>98</v>
      </c>
      <c r="M251" s="61" t="s">
        <v>19</v>
      </c>
      <c r="N251" s="61" t="s">
        <v>355</v>
      </c>
      <c r="O251" s="61" t="s">
        <v>16</v>
      </c>
      <c r="P251" s="64">
        <f t="shared" si="6"/>
        <v>5.6980732739746021E-2</v>
      </c>
      <c r="Q251" s="4">
        <f t="shared" si="7"/>
        <v>3123</v>
      </c>
    </row>
    <row r="252" spans="1:17" ht="15.75" customHeight="1" x14ac:dyDescent="0.3">
      <c r="A252" s="60" t="s">
        <v>207</v>
      </c>
      <c r="B252" s="61" t="s">
        <v>28</v>
      </c>
      <c r="C252" s="62">
        <v>45749</v>
      </c>
      <c r="D252" s="61" t="s">
        <v>14</v>
      </c>
      <c r="E252" s="61" t="s">
        <v>26</v>
      </c>
      <c r="F252" s="61"/>
      <c r="G252" s="63">
        <v>4598</v>
      </c>
      <c r="H252" s="63">
        <v>455</v>
      </c>
      <c r="I252" s="63">
        <v>378</v>
      </c>
      <c r="J252" s="63">
        <v>52952</v>
      </c>
      <c r="K252" s="63">
        <v>58504</v>
      </c>
      <c r="L252" s="63">
        <v>269</v>
      </c>
      <c r="M252" s="61" t="s">
        <v>19</v>
      </c>
      <c r="N252" s="61" t="s">
        <v>354</v>
      </c>
      <c r="O252" s="61" t="s">
        <v>20</v>
      </c>
      <c r="P252" s="64">
        <f t="shared" si="6"/>
        <v>0.10256458679558846</v>
      </c>
      <c r="Q252" s="4">
        <f t="shared" si="7"/>
        <v>5431</v>
      </c>
    </row>
    <row r="253" spans="1:17" ht="15.75" customHeight="1" x14ac:dyDescent="0.3">
      <c r="A253" s="60" t="s">
        <v>241</v>
      </c>
      <c r="B253" s="61" t="s">
        <v>22</v>
      </c>
      <c r="C253" s="62">
        <v>45754</v>
      </c>
      <c r="D253" s="61" t="s">
        <v>14</v>
      </c>
      <c r="E253" s="61" t="s">
        <v>43</v>
      </c>
      <c r="F253" s="61"/>
      <c r="G253" s="63">
        <v>1403</v>
      </c>
      <c r="H253" s="63">
        <v>385</v>
      </c>
      <c r="I253" s="63">
        <v>344</v>
      </c>
      <c r="J253" s="63">
        <v>54223</v>
      </c>
      <c r="K253" s="63">
        <v>72595</v>
      </c>
      <c r="L253" s="63">
        <v>239</v>
      </c>
      <c r="M253" s="61" t="s">
        <v>39</v>
      </c>
      <c r="N253" s="61"/>
      <c r="O253" s="61" t="s">
        <v>20</v>
      </c>
      <c r="P253" s="64">
        <f t="shared" si="6"/>
        <v>3.9319108127547353E-2</v>
      </c>
      <c r="Q253" s="4">
        <f t="shared" si="7"/>
        <v>2132</v>
      </c>
    </row>
    <row r="254" spans="1:17" ht="15.75" customHeight="1" x14ac:dyDescent="0.3">
      <c r="A254" s="55" t="s">
        <v>275</v>
      </c>
      <c r="B254" s="56" t="s">
        <v>22</v>
      </c>
      <c r="C254" s="57">
        <v>45759</v>
      </c>
      <c r="D254" s="56" t="s">
        <v>23</v>
      </c>
      <c r="E254" s="56" t="s">
        <v>43</v>
      </c>
      <c r="F254" s="56"/>
      <c r="G254" s="58">
        <v>4315</v>
      </c>
      <c r="H254" s="58">
        <v>208</v>
      </c>
      <c r="I254" s="58">
        <v>273</v>
      </c>
      <c r="J254" s="58">
        <v>35780</v>
      </c>
      <c r="K254" s="58">
        <v>44349</v>
      </c>
      <c r="L254" s="58">
        <v>133</v>
      </c>
      <c r="M254" s="56" t="s">
        <v>19</v>
      </c>
      <c r="N254" s="56" t="s">
        <v>355</v>
      </c>
      <c r="O254" s="56" t="s">
        <v>16</v>
      </c>
      <c r="P254" s="59">
        <f t="shared" si="6"/>
        <v>0.13404136389044158</v>
      </c>
      <c r="Q254" s="4">
        <f t="shared" si="7"/>
        <v>4796</v>
      </c>
    </row>
    <row r="255" spans="1:17" ht="15.75" customHeight="1" x14ac:dyDescent="0.3">
      <c r="A255" s="60" t="s">
        <v>182</v>
      </c>
      <c r="B255" s="61" t="s">
        <v>22</v>
      </c>
      <c r="C255" s="62">
        <v>45760</v>
      </c>
      <c r="D255" s="61" t="s">
        <v>14</v>
      </c>
      <c r="E255" s="61" t="s">
        <v>43</v>
      </c>
      <c r="F255" s="61"/>
      <c r="G255" s="63">
        <v>3890</v>
      </c>
      <c r="H255" s="63">
        <v>408</v>
      </c>
      <c r="I255" s="63">
        <v>338</v>
      </c>
      <c r="J255" s="63">
        <v>56994</v>
      </c>
      <c r="K255" s="63">
        <v>32621</v>
      </c>
      <c r="L255" s="63">
        <v>286</v>
      </c>
      <c r="M255" s="61" t="s">
        <v>39</v>
      </c>
      <c r="N255" s="61"/>
      <c r="O255" s="61" t="s">
        <v>20</v>
      </c>
      <c r="P255" s="64">
        <f t="shared" si="6"/>
        <v>8.1341895638137346E-2</v>
      </c>
      <c r="Q255" s="4">
        <f t="shared" si="7"/>
        <v>4636</v>
      </c>
    </row>
    <row r="256" spans="1:17" ht="15.75" customHeight="1" x14ac:dyDescent="0.3">
      <c r="A256" s="60" t="s">
        <v>148</v>
      </c>
      <c r="B256" s="61" t="s">
        <v>13</v>
      </c>
      <c r="C256" s="62">
        <v>45762</v>
      </c>
      <c r="D256" s="61" t="s">
        <v>14</v>
      </c>
      <c r="E256" s="61" t="s">
        <v>18</v>
      </c>
      <c r="F256" s="61"/>
      <c r="G256" s="63">
        <v>4177</v>
      </c>
      <c r="H256" s="63">
        <v>489</v>
      </c>
      <c r="I256" s="63">
        <v>331</v>
      </c>
      <c r="J256" s="63">
        <v>57451</v>
      </c>
      <c r="K256" s="63">
        <v>73793</v>
      </c>
      <c r="L256" s="63">
        <v>251</v>
      </c>
      <c r="M256" s="61" t="s">
        <v>19</v>
      </c>
      <c r="N256" s="61"/>
      <c r="O256" s="61" t="s">
        <v>20</v>
      </c>
      <c r="P256" s="64">
        <f t="shared" si="6"/>
        <v>8.6978468608031198E-2</v>
      </c>
      <c r="Q256" s="4">
        <f t="shared" si="7"/>
        <v>4997</v>
      </c>
    </row>
    <row r="257" spans="1:17" ht="15.75" customHeight="1" x14ac:dyDescent="0.3">
      <c r="A257" s="55" t="s">
        <v>99</v>
      </c>
      <c r="B257" s="56" t="s">
        <v>13</v>
      </c>
      <c r="C257" s="57">
        <v>45763</v>
      </c>
      <c r="D257" s="56" t="s">
        <v>14</v>
      </c>
      <c r="E257" s="56" t="s">
        <v>26</v>
      </c>
      <c r="F257" s="56"/>
      <c r="G257" s="58">
        <v>4836</v>
      </c>
      <c r="H257" s="58">
        <v>331</v>
      </c>
      <c r="I257" s="58">
        <v>140</v>
      </c>
      <c r="J257" s="58">
        <v>58792</v>
      </c>
      <c r="K257" s="58">
        <v>47711</v>
      </c>
      <c r="L257" s="58">
        <v>227</v>
      </c>
      <c r="M257" s="56" t="s">
        <v>39</v>
      </c>
      <c r="N257" s="56" t="s">
        <v>36</v>
      </c>
      <c r="O257" s="56" t="s">
        <v>16</v>
      </c>
      <c r="P257" s="59">
        <f t="shared" si="6"/>
        <v>9.0267383317458164E-2</v>
      </c>
      <c r="Q257" s="4">
        <f t="shared" si="7"/>
        <v>5307</v>
      </c>
    </row>
    <row r="258" spans="1:17" ht="15.75" customHeight="1" x14ac:dyDescent="0.3">
      <c r="A258" s="55" t="s">
        <v>238</v>
      </c>
      <c r="B258" s="56" t="s">
        <v>22</v>
      </c>
      <c r="C258" s="57">
        <v>45763</v>
      </c>
      <c r="D258" s="56" t="s">
        <v>14</v>
      </c>
      <c r="E258" s="56" t="s">
        <v>26</v>
      </c>
      <c r="F258" s="56"/>
      <c r="G258" s="58">
        <v>3792</v>
      </c>
      <c r="H258" s="58">
        <v>315</v>
      </c>
      <c r="I258" s="58">
        <v>120</v>
      </c>
      <c r="J258" s="58">
        <v>54592</v>
      </c>
      <c r="K258" s="58">
        <v>67886</v>
      </c>
      <c r="L258" s="58">
        <v>117</v>
      </c>
      <c r="M258" s="56" t="s">
        <v>39</v>
      </c>
      <c r="N258" s="56"/>
      <c r="O258" s="56" t="s">
        <v>20</v>
      </c>
      <c r="P258" s="59">
        <f t="shared" ref="P258:P301" si="8">(G258+H258+I258)/J258</f>
        <v>7.7428927315357568E-2</v>
      </c>
      <c r="Q258" s="4">
        <f t="shared" si="7"/>
        <v>4227</v>
      </c>
    </row>
    <row r="259" spans="1:17" ht="15.75" customHeight="1" x14ac:dyDescent="0.3">
      <c r="A259" s="55" t="s">
        <v>326</v>
      </c>
      <c r="B259" s="56" t="s">
        <v>28</v>
      </c>
      <c r="C259" s="57">
        <v>45765</v>
      </c>
      <c r="D259" s="56" t="s">
        <v>51</v>
      </c>
      <c r="E259" s="56" t="s">
        <v>45</v>
      </c>
      <c r="F259" s="56"/>
      <c r="G259" s="58">
        <v>1265</v>
      </c>
      <c r="H259" s="58">
        <v>230</v>
      </c>
      <c r="I259" s="58">
        <v>364</v>
      </c>
      <c r="J259" s="58">
        <v>41312</v>
      </c>
      <c r="K259" s="58">
        <v>50382</v>
      </c>
      <c r="L259" s="58">
        <v>106</v>
      </c>
      <c r="M259" s="56" t="s">
        <v>19</v>
      </c>
      <c r="N259" s="56" t="s">
        <v>39</v>
      </c>
      <c r="O259" s="56" t="s">
        <v>52</v>
      </c>
      <c r="P259" s="59">
        <f t="shared" si="8"/>
        <v>4.4999031758326875E-2</v>
      </c>
      <c r="Q259" s="4">
        <f t="shared" ref="Q259:Q301" si="9">G259+H259+I259</f>
        <v>1859</v>
      </c>
    </row>
    <row r="260" spans="1:17" ht="15.75" customHeight="1" x14ac:dyDescent="0.3">
      <c r="A260" s="60" t="s">
        <v>83</v>
      </c>
      <c r="B260" s="61" t="s">
        <v>22</v>
      </c>
      <c r="C260" s="62">
        <v>45769</v>
      </c>
      <c r="D260" s="61" t="s">
        <v>14</v>
      </c>
      <c r="E260" s="61" t="s">
        <v>15</v>
      </c>
      <c r="F260" s="61"/>
      <c r="G260" s="63">
        <v>4401</v>
      </c>
      <c r="H260" s="63">
        <v>421</v>
      </c>
      <c r="I260" s="63">
        <v>216</v>
      </c>
      <c r="J260" s="63">
        <v>24890</v>
      </c>
      <c r="K260" s="63">
        <v>54361</v>
      </c>
      <c r="L260" s="63">
        <v>148</v>
      </c>
      <c r="M260" s="61" t="s">
        <v>36</v>
      </c>
      <c r="N260" s="61"/>
      <c r="O260" s="61" t="s">
        <v>16</v>
      </c>
      <c r="P260" s="64">
        <f t="shared" si="8"/>
        <v>0.20241060666934513</v>
      </c>
      <c r="Q260" s="4">
        <f t="shared" si="9"/>
        <v>5038</v>
      </c>
    </row>
    <row r="261" spans="1:17" ht="15.75" customHeight="1" x14ac:dyDescent="0.3">
      <c r="A261" s="55" t="s">
        <v>218</v>
      </c>
      <c r="B261" s="56" t="s">
        <v>28</v>
      </c>
      <c r="C261" s="57">
        <v>45769</v>
      </c>
      <c r="D261" s="56" t="s">
        <v>51</v>
      </c>
      <c r="E261" s="56" t="s">
        <v>24</v>
      </c>
      <c r="F261" s="56"/>
      <c r="G261" s="58">
        <v>2733</v>
      </c>
      <c r="H261" s="58">
        <v>297</v>
      </c>
      <c r="I261" s="58">
        <v>235</v>
      </c>
      <c r="J261" s="58">
        <v>37980</v>
      </c>
      <c r="K261" s="58">
        <v>33058</v>
      </c>
      <c r="L261" s="58">
        <v>219</v>
      </c>
      <c r="M261" s="56" t="s">
        <v>19</v>
      </c>
      <c r="N261" s="56" t="s">
        <v>39</v>
      </c>
      <c r="O261" s="56" t="s">
        <v>52</v>
      </c>
      <c r="P261" s="59">
        <f t="shared" si="8"/>
        <v>8.5966298051606105E-2</v>
      </c>
      <c r="Q261" s="4">
        <f t="shared" si="9"/>
        <v>3265</v>
      </c>
    </row>
    <row r="262" spans="1:17" ht="15.75" customHeight="1" x14ac:dyDescent="0.3">
      <c r="A262" s="60" t="s">
        <v>63</v>
      </c>
      <c r="B262" s="61" t="s">
        <v>22</v>
      </c>
      <c r="C262" s="62">
        <v>45773</v>
      </c>
      <c r="D262" s="61" t="s">
        <v>14</v>
      </c>
      <c r="E262" s="61" t="s">
        <v>15</v>
      </c>
      <c r="F262" s="61"/>
      <c r="G262" s="63">
        <v>2411</v>
      </c>
      <c r="H262" s="63">
        <v>194</v>
      </c>
      <c r="I262" s="63">
        <v>168</v>
      </c>
      <c r="J262" s="63">
        <v>26665</v>
      </c>
      <c r="K262" s="63">
        <v>71699</v>
      </c>
      <c r="L262" s="63">
        <v>197</v>
      </c>
      <c r="M262" s="61" t="s">
        <v>36</v>
      </c>
      <c r="N262" s="61"/>
      <c r="O262" s="61" t="s">
        <v>16</v>
      </c>
      <c r="P262" s="64">
        <f t="shared" si="8"/>
        <v>0.10399399962497656</v>
      </c>
      <c r="Q262" s="4">
        <f t="shared" si="9"/>
        <v>2773</v>
      </c>
    </row>
    <row r="263" spans="1:17" ht="15.75" customHeight="1" x14ac:dyDescent="0.3">
      <c r="A263" s="55" t="s">
        <v>124</v>
      </c>
      <c r="B263" s="56" t="s">
        <v>22</v>
      </c>
      <c r="C263" s="57">
        <v>45774</v>
      </c>
      <c r="D263" s="56" t="s">
        <v>14</v>
      </c>
      <c r="E263" s="56" t="s">
        <v>18</v>
      </c>
      <c r="F263" s="56"/>
      <c r="G263" s="58">
        <v>1165</v>
      </c>
      <c r="H263" s="58">
        <v>294</v>
      </c>
      <c r="I263" s="58">
        <v>163</v>
      </c>
      <c r="J263" s="58">
        <v>20659</v>
      </c>
      <c r="K263" s="58">
        <v>45926</v>
      </c>
      <c r="L263" s="58">
        <v>111</v>
      </c>
      <c r="M263" s="56" t="s">
        <v>39</v>
      </c>
      <c r="N263" s="56"/>
      <c r="O263" s="56" t="s">
        <v>20</v>
      </c>
      <c r="P263" s="59">
        <f t="shared" si="8"/>
        <v>7.8512996756861422E-2</v>
      </c>
      <c r="Q263" s="4">
        <f t="shared" si="9"/>
        <v>1622</v>
      </c>
    </row>
    <row r="264" spans="1:17" ht="15.75" customHeight="1" x14ac:dyDescent="0.3">
      <c r="A264" s="55" t="s">
        <v>154</v>
      </c>
      <c r="B264" s="56" t="s">
        <v>13</v>
      </c>
      <c r="C264" s="57">
        <v>45777</v>
      </c>
      <c r="D264" s="56" t="s">
        <v>23</v>
      </c>
      <c r="E264" s="56" t="s">
        <v>24</v>
      </c>
      <c r="F264" s="56"/>
      <c r="G264" s="58">
        <v>3916</v>
      </c>
      <c r="H264" s="58">
        <v>459</v>
      </c>
      <c r="I264" s="58">
        <v>229</v>
      </c>
      <c r="J264" s="58">
        <v>48989</v>
      </c>
      <c r="K264" s="58">
        <v>39768</v>
      </c>
      <c r="L264" s="58">
        <v>200</v>
      </c>
      <c r="M264" s="56" t="s">
        <v>36</v>
      </c>
      <c r="N264" s="56"/>
      <c r="O264" s="56" t="s">
        <v>49</v>
      </c>
      <c r="P264" s="59">
        <f t="shared" si="8"/>
        <v>9.3980281287635997E-2</v>
      </c>
      <c r="Q264" s="4">
        <f t="shared" si="9"/>
        <v>4604</v>
      </c>
    </row>
    <row r="265" spans="1:17" ht="15.75" customHeight="1" x14ac:dyDescent="0.3">
      <c r="A265" s="60" t="s">
        <v>213</v>
      </c>
      <c r="B265" s="61" t="s">
        <v>22</v>
      </c>
      <c r="C265" s="62">
        <v>45777</v>
      </c>
      <c r="D265" s="61" t="s">
        <v>23</v>
      </c>
      <c r="E265" s="61" t="s">
        <v>26</v>
      </c>
      <c r="F265" s="61"/>
      <c r="G265" s="63">
        <v>3929</v>
      </c>
      <c r="H265" s="63">
        <v>275</v>
      </c>
      <c r="I265" s="63">
        <v>330</v>
      </c>
      <c r="J265" s="63">
        <v>58329</v>
      </c>
      <c r="K265" s="63">
        <v>33196</v>
      </c>
      <c r="L265" s="63">
        <v>85</v>
      </c>
      <c r="M265" s="61" t="s">
        <v>355</v>
      </c>
      <c r="N265" s="61" t="s">
        <v>36</v>
      </c>
      <c r="O265" s="61" t="s">
        <v>16</v>
      </c>
      <c r="P265" s="64">
        <f t="shared" si="8"/>
        <v>7.7731488624869283E-2</v>
      </c>
      <c r="Q265" s="4">
        <f t="shared" si="9"/>
        <v>4534</v>
      </c>
    </row>
    <row r="266" spans="1:17" ht="15.75" customHeight="1" x14ac:dyDescent="0.3">
      <c r="A266" s="60" t="s">
        <v>243</v>
      </c>
      <c r="B266" s="61" t="s">
        <v>22</v>
      </c>
      <c r="C266" s="62">
        <v>45780</v>
      </c>
      <c r="D266" s="61" t="s">
        <v>23</v>
      </c>
      <c r="E266" s="61" t="s">
        <v>35</v>
      </c>
      <c r="F266" s="61"/>
      <c r="G266" s="63">
        <v>1010</v>
      </c>
      <c r="H266" s="63">
        <v>361</v>
      </c>
      <c r="I266" s="63">
        <v>240</v>
      </c>
      <c r="J266" s="63">
        <v>47229</v>
      </c>
      <c r="K266" s="63">
        <v>72573</v>
      </c>
      <c r="L266" s="63">
        <v>275</v>
      </c>
      <c r="M266" s="61" t="s">
        <v>39</v>
      </c>
      <c r="N266" s="61" t="s">
        <v>36</v>
      </c>
      <c r="O266" s="61" t="s">
        <v>16</v>
      </c>
      <c r="P266" s="64">
        <f t="shared" si="8"/>
        <v>3.4110398272247981E-2</v>
      </c>
      <c r="Q266" s="4">
        <f t="shared" si="9"/>
        <v>1611</v>
      </c>
    </row>
    <row r="267" spans="1:17" ht="15.75" customHeight="1" x14ac:dyDescent="0.3">
      <c r="A267" s="60" t="s">
        <v>12</v>
      </c>
      <c r="B267" s="61" t="s">
        <v>13</v>
      </c>
      <c r="C267" s="62">
        <v>45781</v>
      </c>
      <c r="D267" s="61" t="s">
        <v>14</v>
      </c>
      <c r="E267" s="61" t="s">
        <v>15</v>
      </c>
      <c r="F267" s="61"/>
      <c r="G267" s="63">
        <v>2414</v>
      </c>
      <c r="H267" s="63">
        <v>245</v>
      </c>
      <c r="I267" s="63">
        <v>137</v>
      </c>
      <c r="J267" s="63">
        <v>21181</v>
      </c>
      <c r="K267" s="63">
        <v>45292</v>
      </c>
      <c r="L267" s="63">
        <v>133</v>
      </c>
      <c r="M267" s="61" t="s">
        <v>39</v>
      </c>
      <c r="N267" s="61" t="s">
        <v>36</v>
      </c>
      <c r="O267" s="61" t="s">
        <v>16</v>
      </c>
      <c r="P267" s="64">
        <f t="shared" si="8"/>
        <v>0.13200509890939993</v>
      </c>
      <c r="Q267" s="4">
        <f t="shared" si="9"/>
        <v>2796</v>
      </c>
    </row>
    <row r="268" spans="1:17" ht="15.75" customHeight="1" x14ac:dyDescent="0.3">
      <c r="A268" s="55" t="s">
        <v>149</v>
      </c>
      <c r="B268" s="56" t="s">
        <v>13</v>
      </c>
      <c r="C268" s="57">
        <v>45781</v>
      </c>
      <c r="D268" s="56" t="s">
        <v>23</v>
      </c>
      <c r="E268" s="56" t="s">
        <v>24</v>
      </c>
      <c r="F268" s="56"/>
      <c r="G268" s="58">
        <v>1311</v>
      </c>
      <c r="H268" s="58">
        <v>181</v>
      </c>
      <c r="I268" s="58">
        <v>361</v>
      </c>
      <c r="J268" s="58">
        <v>37148</v>
      </c>
      <c r="K268" s="58">
        <v>44875</v>
      </c>
      <c r="L268" s="58">
        <v>245</v>
      </c>
      <c r="M268" s="56" t="s">
        <v>36</v>
      </c>
      <c r="N268" s="56"/>
      <c r="O268" s="56" t="s">
        <v>49</v>
      </c>
      <c r="P268" s="59">
        <f t="shared" si="8"/>
        <v>4.9881554861634543E-2</v>
      </c>
      <c r="Q268" s="4">
        <f t="shared" si="9"/>
        <v>1853</v>
      </c>
    </row>
    <row r="269" spans="1:17" ht="15.75" customHeight="1" x14ac:dyDescent="0.3">
      <c r="A269" s="60" t="s">
        <v>106</v>
      </c>
      <c r="B269" s="61" t="s">
        <v>28</v>
      </c>
      <c r="C269" s="62">
        <v>45783</v>
      </c>
      <c r="D269" s="61" t="s">
        <v>51</v>
      </c>
      <c r="E269" s="61" t="s">
        <v>15</v>
      </c>
      <c r="F269" s="61"/>
      <c r="G269" s="63">
        <v>1085</v>
      </c>
      <c r="H269" s="63">
        <v>496</v>
      </c>
      <c r="I269" s="63">
        <v>320</v>
      </c>
      <c r="J269" s="63">
        <v>36528</v>
      </c>
      <c r="K269" s="63">
        <v>38599</v>
      </c>
      <c r="L269" s="63">
        <v>270</v>
      </c>
      <c r="M269" s="61" t="s">
        <v>19</v>
      </c>
      <c r="N269" s="61" t="s">
        <v>39</v>
      </c>
      <c r="O269" s="61" t="s">
        <v>52</v>
      </c>
      <c r="P269" s="64">
        <f t="shared" si="8"/>
        <v>5.2042268944371438E-2</v>
      </c>
      <c r="Q269" s="4">
        <f t="shared" si="9"/>
        <v>1901</v>
      </c>
    </row>
    <row r="270" spans="1:17" ht="15.75" customHeight="1" x14ac:dyDescent="0.3">
      <c r="A270" s="55" t="s">
        <v>68</v>
      </c>
      <c r="B270" s="56" t="s">
        <v>22</v>
      </c>
      <c r="C270" s="57">
        <v>45785</v>
      </c>
      <c r="D270" s="56" t="s">
        <v>23</v>
      </c>
      <c r="E270" s="56" t="s">
        <v>45</v>
      </c>
      <c r="F270" s="56"/>
      <c r="G270" s="58">
        <v>3316</v>
      </c>
      <c r="H270" s="58">
        <v>332</v>
      </c>
      <c r="I270" s="58">
        <v>268</v>
      </c>
      <c r="J270" s="58">
        <v>40095</v>
      </c>
      <c r="K270" s="58">
        <v>36913</v>
      </c>
      <c r="L270" s="58">
        <v>265</v>
      </c>
      <c r="M270" s="56" t="s">
        <v>355</v>
      </c>
      <c r="N270" s="56" t="s">
        <v>36</v>
      </c>
      <c r="O270" s="56" t="s">
        <v>16</v>
      </c>
      <c r="P270" s="59">
        <f t="shared" si="8"/>
        <v>9.7668038408779148E-2</v>
      </c>
      <c r="Q270" s="4">
        <f t="shared" si="9"/>
        <v>3916</v>
      </c>
    </row>
    <row r="271" spans="1:17" ht="15.75" customHeight="1" x14ac:dyDescent="0.3">
      <c r="A271" s="60" t="s">
        <v>254</v>
      </c>
      <c r="B271" s="61" t="s">
        <v>22</v>
      </c>
      <c r="C271" s="62">
        <v>45786</v>
      </c>
      <c r="D271" s="61" t="s">
        <v>23</v>
      </c>
      <c r="E271" s="61" t="s">
        <v>29</v>
      </c>
      <c r="F271" s="61"/>
      <c r="G271" s="63">
        <v>2778</v>
      </c>
      <c r="H271" s="63">
        <v>241</v>
      </c>
      <c r="I271" s="63">
        <v>317</v>
      </c>
      <c r="J271" s="63">
        <v>26247</v>
      </c>
      <c r="K271" s="63">
        <v>20677</v>
      </c>
      <c r="L271" s="63">
        <v>282</v>
      </c>
      <c r="M271" s="61" t="s">
        <v>355</v>
      </c>
      <c r="N271" s="61" t="s">
        <v>36</v>
      </c>
      <c r="O271" s="61" t="s">
        <v>16</v>
      </c>
      <c r="P271" s="64">
        <f t="shared" si="8"/>
        <v>0.1271002400274317</v>
      </c>
      <c r="Q271" s="4">
        <f t="shared" si="9"/>
        <v>3336</v>
      </c>
    </row>
    <row r="272" spans="1:17" ht="15.75" customHeight="1" x14ac:dyDescent="0.3">
      <c r="A272" s="60" t="s">
        <v>59</v>
      </c>
      <c r="B272" s="61" t="s">
        <v>22</v>
      </c>
      <c r="C272" s="62">
        <v>45791</v>
      </c>
      <c r="D272" s="61" t="s">
        <v>23</v>
      </c>
      <c r="E272" s="61" t="s">
        <v>43</v>
      </c>
      <c r="F272" s="61"/>
      <c r="G272" s="63">
        <v>2707</v>
      </c>
      <c r="H272" s="63">
        <v>103</v>
      </c>
      <c r="I272" s="63">
        <v>51</v>
      </c>
      <c r="J272" s="63">
        <v>55302</v>
      </c>
      <c r="K272" s="63">
        <v>18801</v>
      </c>
      <c r="L272" s="63">
        <v>147</v>
      </c>
      <c r="M272" s="61" t="s">
        <v>19</v>
      </c>
      <c r="N272" s="61" t="s">
        <v>355</v>
      </c>
      <c r="O272" s="61" t="s">
        <v>16</v>
      </c>
      <c r="P272" s="64">
        <f t="shared" si="8"/>
        <v>5.173411449857148E-2</v>
      </c>
      <c r="Q272" s="4">
        <f t="shared" si="9"/>
        <v>2861</v>
      </c>
    </row>
    <row r="273" spans="1:17" ht="15.75" customHeight="1" x14ac:dyDescent="0.3">
      <c r="A273" s="60" t="s">
        <v>263</v>
      </c>
      <c r="B273" s="61" t="s">
        <v>28</v>
      </c>
      <c r="C273" s="62">
        <v>45791</v>
      </c>
      <c r="D273" s="61" t="s">
        <v>14</v>
      </c>
      <c r="E273" s="61" t="s">
        <v>15</v>
      </c>
      <c r="F273" s="61"/>
      <c r="G273" s="63">
        <v>1701</v>
      </c>
      <c r="H273" s="63">
        <v>272</v>
      </c>
      <c r="I273" s="63">
        <v>385</v>
      </c>
      <c r="J273" s="63">
        <v>47496</v>
      </c>
      <c r="K273" s="63">
        <v>40832</v>
      </c>
      <c r="L273" s="63">
        <v>246</v>
      </c>
      <c r="M273" s="61" t="s">
        <v>19</v>
      </c>
      <c r="N273" s="61" t="s">
        <v>354</v>
      </c>
      <c r="O273" s="61" t="s">
        <v>20</v>
      </c>
      <c r="P273" s="64">
        <f t="shared" si="8"/>
        <v>4.9646286003031836E-2</v>
      </c>
      <c r="Q273" s="4">
        <f t="shared" si="9"/>
        <v>2358</v>
      </c>
    </row>
    <row r="274" spans="1:17" ht="15.75" customHeight="1" x14ac:dyDescent="0.3">
      <c r="A274" s="60" t="s">
        <v>119</v>
      </c>
      <c r="B274" s="61" t="s">
        <v>22</v>
      </c>
      <c r="C274" s="62">
        <v>45791</v>
      </c>
      <c r="D274" s="61" t="s">
        <v>23</v>
      </c>
      <c r="E274" s="61" t="s">
        <v>26</v>
      </c>
      <c r="F274" s="61"/>
      <c r="G274" s="63">
        <v>1371</v>
      </c>
      <c r="H274" s="63">
        <v>139</v>
      </c>
      <c r="I274" s="63">
        <v>96</v>
      </c>
      <c r="J274" s="63">
        <v>36140</v>
      </c>
      <c r="K274" s="63">
        <v>39395</v>
      </c>
      <c r="L274" s="63">
        <v>169</v>
      </c>
      <c r="M274" s="61" t="s">
        <v>39</v>
      </c>
      <c r="N274" s="61" t="s">
        <v>36</v>
      </c>
      <c r="O274" s="61" t="s">
        <v>16</v>
      </c>
      <c r="P274" s="64">
        <f t="shared" si="8"/>
        <v>4.4438295517432211E-2</v>
      </c>
      <c r="Q274" s="4">
        <f t="shared" si="9"/>
        <v>1606</v>
      </c>
    </row>
    <row r="275" spans="1:17" ht="15.75" customHeight="1" x14ac:dyDescent="0.3">
      <c r="A275" s="60" t="s">
        <v>283</v>
      </c>
      <c r="B275" s="61" t="s">
        <v>22</v>
      </c>
      <c r="C275" s="62">
        <v>45792</v>
      </c>
      <c r="D275" s="61" t="s">
        <v>14</v>
      </c>
      <c r="E275" s="61" t="s">
        <v>45</v>
      </c>
      <c r="F275" s="61"/>
      <c r="G275" s="63">
        <v>4782</v>
      </c>
      <c r="H275" s="63">
        <v>210</v>
      </c>
      <c r="I275" s="63">
        <v>311</v>
      </c>
      <c r="J275" s="63">
        <v>29793</v>
      </c>
      <c r="K275" s="63">
        <v>37543</v>
      </c>
      <c r="L275" s="63">
        <v>145</v>
      </c>
      <c r="M275" s="61" t="s">
        <v>36</v>
      </c>
      <c r="N275" s="61"/>
      <c r="O275" s="61" t="s">
        <v>16</v>
      </c>
      <c r="P275" s="64">
        <f t="shared" si="8"/>
        <v>0.17799483100057059</v>
      </c>
      <c r="Q275" s="4">
        <f t="shared" si="9"/>
        <v>5303</v>
      </c>
    </row>
    <row r="276" spans="1:17" ht="15.75" customHeight="1" x14ac:dyDescent="0.3">
      <c r="A276" s="60" t="s">
        <v>167</v>
      </c>
      <c r="B276" s="61" t="s">
        <v>22</v>
      </c>
      <c r="C276" s="62">
        <v>45792</v>
      </c>
      <c r="D276" s="61" t="s">
        <v>14</v>
      </c>
      <c r="E276" s="61" t="s">
        <v>24</v>
      </c>
      <c r="F276" s="61"/>
      <c r="G276" s="63">
        <v>1583</v>
      </c>
      <c r="H276" s="63">
        <v>433</v>
      </c>
      <c r="I276" s="63">
        <v>249</v>
      </c>
      <c r="J276" s="63">
        <v>30256</v>
      </c>
      <c r="K276" s="63">
        <v>47066</v>
      </c>
      <c r="L276" s="63">
        <v>196</v>
      </c>
      <c r="M276" s="61" t="s">
        <v>36</v>
      </c>
      <c r="N276" s="61"/>
      <c r="O276" s="61" t="s">
        <v>16</v>
      </c>
      <c r="P276" s="64">
        <f t="shared" si="8"/>
        <v>7.4861184558434685E-2</v>
      </c>
      <c r="Q276" s="4">
        <f t="shared" si="9"/>
        <v>2265</v>
      </c>
    </row>
    <row r="277" spans="1:17" ht="15.75" customHeight="1" x14ac:dyDescent="0.3">
      <c r="A277" s="55" t="s">
        <v>220</v>
      </c>
      <c r="B277" s="56" t="s">
        <v>28</v>
      </c>
      <c r="C277" s="57">
        <v>45795</v>
      </c>
      <c r="D277" s="56" t="s">
        <v>51</v>
      </c>
      <c r="E277" s="56" t="s">
        <v>26</v>
      </c>
      <c r="F277" s="56"/>
      <c r="G277" s="58">
        <v>4210</v>
      </c>
      <c r="H277" s="58">
        <v>319</v>
      </c>
      <c r="I277" s="58">
        <v>350</v>
      </c>
      <c r="J277" s="58">
        <v>37762</v>
      </c>
      <c r="K277" s="58">
        <v>55162</v>
      </c>
      <c r="L277" s="58">
        <v>204</v>
      </c>
      <c r="M277" s="56" t="s">
        <v>19</v>
      </c>
      <c r="N277" s="56" t="s">
        <v>39</v>
      </c>
      <c r="O277" s="56" t="s">
        <v>52</v>
      </c>
      <c r="P277" s="59">
        <f t="shared" si="8"/>
        <v>0.12920396165457337</v>
      </c>
      <c r="Q277" s="4">
        <f t="shared" si="9"/>
        <v>4879</v>
      </c>
    </row>
    <row r="278" spans="1:17" ht="15.75" customHeight="1" x14ac:dyDescent="0.3">
      <c r="A278" s="55" t="s">
        <v>179</v>
      </c>
      <c r="B278" s="56" t="s">
        <v>13</v>
      </c>
      <c r="C278" s="57">
        <v>45799</v>
      </c>
      <c r="D278" s="56" t="s">
        <v>14</v>
      </c>
      <c r="E278" s="56" t="s">
        <v>15</v>
      </c>
      <c r="F278" s="56"/>
      <c r="G278" s="58">
        <v>2633</v>
      </c>
      <c r="H278" s="58">
        <v>318</v>
      </c>
      <c r="I278" s="58">
        <v>380</v>
      </c>
      <c r="J278" s="58">
        <v>40869</v>
      </c>
      <c r="K278" s="58">
        <v>64474</v>
      </c>
      <c r="L278" s="58">
        <v>245</v>
      </c>
      <c r="M278" s="56" t="s">
        <v>19</v>
      </c>
      <c r="N278" s="56"/>
      <c r="O278" s="56" t="s">
        <v>20</v>
      </c>
      <c r="P278" s="59">
        <f t="shared" si="8"/>
        <v>8.1504318676747664E-2</v>
      </c>
      <c r="Q278" s="4">
        <f t="shared" si="9"/>
        <v>3331</v>
      </c>
    </row>
    <row r="279" spans="1:17" ht="15.75" customHeight="1" x14ac:dyDescent="0.3">
      <c r="A279" s="55" t="s">
        <v>194</v>
      </c>
      <c r="B279" s="56" t="s">
        <v>13</v>
      </c>
      <c r="C279" s="57">
        <v>45803</v>
      </c>
      <c r="D279" s="56" t="s">
        <v>14</v>
      </c>
      <c r="E279" s="56" t="s">
        <v>15</v>
      </c>
      <c r="F279" s="56"/>
      <c r="G279" s="58">
        <v>3086</v>
      </c>
      <c r="H279" s="58">
        <v>148</v>
      </c>
      <c r="I279" s="58">
        <v>310</v>
      </c>
      <c r="J279" s="58">
        <v>22824</v>
      </c>
      <c r="K279" s="58">
        <v>58103</v>
      </c>
      <c r="L279" s="58">
        <v>275</v>
      </c>
      <c r="M279" s="56" t="s">
        <v>19</v>
      </c>
      <c r="N279" s="56"/>
      <c r="O279" s="56" t="s">
        <v>20</v>
      </c>
      <c r="P279" s="59">
        <f t="shared" si="8"/>
        <v>0.1552751489660007</v>
      </c>
      <c r="Q279" s="4">
        <f t="shared" si="9"/>
        <v>3544</v>
      </c>
    </row>
    <row r="280" spans="1:17" ht="15.75" customHeight="1" x14ac:dyDescent="0.3">
      <c r="A280" s="60" t="s">
        <v>70</v>
      </c>
      <c r="B280" s="61" t="s">
        <v>22</v>
      </c>
      <c r="C280" s="62">
        <v>45804</v>
      </c>
      <c r="D280" s="61" t="s">
        <v>23</v>
      </c>
      <c r="E280" s="61" t="s">
        <v>18</v>
      </c>
      <c r="F280" s="61"/>
      <c r="G280" s="63">
        <v>4095</v>
      </c>
      <c r="H280" s="63">
        <v>385</v>
      </c>
      <c r="I280" s="63">
        <v>400</v>
      </c>
      <c r="J280" s="63">
        <v>45300</v>
      </c>
      <c r="K280" s="63">
        <v>31795</v>
      </c>
      <c r="L280" s="63">
        <v>80</v>
      </c>
      <c r="M280" s="61" t="s">
        <v>355</v>
      </c>
      <c r="N280" s="61" t="s">
        <v>36</v>
      </c>
      <c r="O280" s="61" t="s">
        <v>16</v>
      </c>
      <c r="P280" s="64">
        <f t="shared" si="8"/>
        <v>0.10772626931567329</v>
      </c>
      <c r="Q280" s="4">
        <f t="shared" si="9"/>
        <v>4880</v>
      </c>
    </row>
    <row r="281" spans="1:17" ht="15.75" customHeight="1" x14ac:dyDescent="0.3">
      <c r="A281" s="60" t="s">
        <v>178</v>
      </c>
      <c r="B281" s="61" t="s">
        <v>22</v>
      </c>
      <c r="C281" s="62">
        <v>45805</v>
      </c>
      <c r="D281" s="61" t="s">
        <v>23</v>
      </c>
      <c r="E281" s="61" t="s">
        <v>35</v>
      </c>
      <c r="F281" s="61"/>
      <c r="G281" s="63">
        <v>4287</v>
      </c>
      <c r="H281" s="63">
        <v>273</v>
      </c>
      <c r="I281" s="63">
        <v>122</v>
      </c>
      <c r="J281" s="63">
        <v>40792</v>
      </c>
      <c r="K281" s="63">
        <v>23878</v>
      </c>
      <c r="L281" s="63">
        <v>277</v>
      </c>
      <c r="M281" s="61" t="s">
        <v>355</v>
      </c>
      <c r="N281" s="61" t="s">
        <v>36</v>
      </c>
      <c r="O281" s="61" t="s">
        <v>16</v>
      </c>
      <c r="P281" s="64">
        <f t="shared" si="8"/>
        <v>0.11477740733477153</v>
      </c>
      <c r="Q281" s="4">
        <f t="shared" si="9"/>
        <v>4682</v>
      </c>
    </row>
    <row r="282" spans="1:17" ht="15.75" customHeight="1" x14ac:dyDescent="0.3">
      <c r="A282" s="55" t="s">
        <v>110</v>
      </c>
      <c r="B282" s="56" t="s">
        <v>22</v>
      </c>
      <c r="C282" s="57">
        <v>45805</v>
      </c>
      <c r="D282" s="56" t="s">
        <v>14</v>
      </c>
      <c r="E282" s="56" t="s">
        <v>43</v>
      </c>
      <c r="F282" s="56"/>
      <c r="G282" s="58">
        <v>2418</v>
      </c>
      <c r="H282" s="58">
        <v>161</v>
      </c>
      <c r="I282" s="58">
        <v>360</v>
      </c>
      <c r="J282" s="58">
        <v>30589</v>
      </c>
      <c r="K282" s="58">
        <v>41383</v>
      </c>
      <c r="L282" s="58">
        <v>88</v>
      </c>
      <c r="M282" s="56" t="s">
        <v>36</v>
      </c>
      <c r="N282" s="56"/>
      <c r="O282" s="56" t="s">
        <v>16</v>
      </c>
      <c r="P282" s="59">
        <f t="shared" si="8"/>
        <v>9.6080290300434801E-2</v>
      </c>
      <c r="Q282" s="4">
        <f t="shared" si="9"/>
        <v>2939</v>
      </c>
    </row>
    <row r="283" spans="1:17" ht="15.75" customHeight="1" x14ac:dyDescent="0.3">
      <c r="A283" s="55" t="s">
        <v>152</v>
      </c>
      <c r="B283" s="56" t="s">
        <v>22</v>
      </c>
      <c r="C283" s="57">
        <v>45806</v>
      </c>
      <c r="D283" s="56" t="s">
        <v>23</v>
      </c>
      <c r="E283" s="56" t="s">
        <v>29</v>
      </c>
      <c r="F283" s="56"/>
      <c r="G283" s="58">
        <v>2134</v>
      </c>
      <c r="H283" s="58">
        <v>322</v>
      </c>
      <c r="I283" s="58">
        <v>114</v>
      </c>
      <c r="J283" s="58">
        <v>44338</v>
      </c>
      <c r="K283" s="58">
        <v>52165</v>
      </c>
      <c r="L283" s="58">
        <v>176</v>
      </c>
      <c r="M283" s="56" t="s">
        <v>355</v>
      </c>
      <c r="N283" s="56" t="s">
        <v>36</v>
      </c>
      <c r="O283" s="56" t="s">
        <v>16</v>
      </c>
      <c r="P283" s="59">
        <f t="shared" si="8"/>
        <v>5.7963823356939871E-2</v>
      </c>
      <c r="Q283" s="4">
        <f t="shared" si="9"/>
        <v>2570</v>
      </c>
    </row>
    <row r="284" spans="1:17" ht="15.75" customHeight="1" x14ac:dyDescent="0.3">
      <c r="A284" s="55" t="s">
        <v>250</v>
      </c>
      <c r="B284" s="56" t="s">
        <v>13</v>
      </c>
      <c r="C284" s="57">
        <v>45808</v>
      </c>
      <c r="D284" s="56" t="s">
        <v>14</v>
      </c>
      <c r="E284" s="56" t="s">
        <v>360</v>
      </c>
      <c r="F284" s="56" t="s">
        <v>361</v>
      </c>
      <c r="G284" s="58">
        <v>2169</v>
      </c>
      <c r="H284" s="58">
        <v>240</v>
      </c>
      <c r="I284" s="58">
        <v>57</v>
      </c>
      <c r="J284" s="58">
        <v>26109</v>
      </c>
      <c r="K284" s="58">
        <v>46667</v>
      </c>
      <c r="L284" s="58">
        <v>133</v>
      </c>
      <c r="M284" s="56" t="s">
        <v>39</v>
      </c>
      <c r="N284" s="56" t="s">
        <v>36</v>
      </c>
      <c r="O284" s="56" t="s">
        <v>16</v>
      </c>
      <c r="P284" s="59">
        <f t="shared" si="8"/>
        <v>9.4450189589796618E-2</v>
      </c>
      <c r="Q284" s="4">
        <f t="shared" si="9"/>
        <v>2466</v>
      </c>
    </row>
    <row r="285" spans="1:17" ht="15.75" customHeight="1" x14ac:dyDescent="0.3">
      <c r="A285" s="55" t="s">
        <v>297</v>
      </c>
      <c r="B285" s="56" t="s">
        <v>28</v>
      </c>
      <c r="C285" s="57">
        <v>45808</v>
      </c>
      <c r="D285" s="56" t="s">
        <v>51</v>
      </c>
      <c r="E285" s="56" t="s">
        <v>32</v>
      </c>
      <c r="F285" s="56"/>
      <c r="G285" s="58">
        <v>2162</v>
      </c>
      <c r="H285" s="58">
        <v>318</v>
      </c>
      <c r="I285" s="58">
        <v>83</v>
      </c>
      <c r="J285" s="58">
        <v>46719</v>
      </c>
      <c r="K285" s="58">
        <v>20482</v>
      </c>
      <c r="L285" s="58">
        <v>185</v>
      </c>
      <c r="M285" s="56" t="s">
        <v>19</v>
      </c>
      <c r="N285" s="56" t="s">
        <v>39</v>
      </c>
      <c r="O285" s="56" t="s">
        <v>52</v>
      </c>
      <c r="P285" s="59">
        <f t="shared" si="8"/>
        <v>5.4859907104176028E-2</v>
      </c>
      <c r="Q285" s="4">
        <f t="shared" si="9"/>
        <v>2563</v>
      </c>
    </row>
    <row r="286" spans="1:17" ht="15.75" customHeight="1" x14ac:dyDescent="0.3">
      <c r="A286" s="60" t="s">
        <v>221</v>
      </c>
      <c r="B286" s="61" t="s">
        <v>13</v>
      </c>
      <c r="C286" s="62">
        <v>45814</v>
      </c>
      <c r="D286" s="61" t="s">
        <v>14</v>
      </c>
      <c r="E286" s="61" t="s">
        <v>26</v>
      </c>
      <c r="F286" s="61"/>
      <c r="G286" s="63">
        <v>3987</v>
      </c>
      <c r="H286" s="63">
        <v>171</v>
      </c>
      <c r="I286" s="63">
        <v>274</v>
      </c>
      <c r="J286" s="63">
        <v>45122</v>
      </c>
      <c r="K286" s="63">
        <v>65431</v>
      </c>
      <c r="L286" s="63">
        <v>168</v>
      </c>
      <c r="M286" s="61" t="s">
        <v>19</v>
      </c>
      <c r="N286" s="61"/>
      <c r="O286" s="61" t="s">
        <v>20</v>
      </c>
      <c r="P286" s="64">
        <f t="shared" si="8"/>
        <v>9.8222596516111871E-2</v>
      </c>
      <c r="Q286" s="4">
        <f t="shared" si="9"/>
        <v>4432</v>
      </c>
    </row>
    <row r="287" spans="1:17" ht="15.75" customHeight="1" x14ac:dyDescent="0.3">
      <c r="A287" s="55" t="s">
        <v>277</v>
      </c>
      <c r="B287" s="56" t="s">
        <v>28</v>
      </c>
      <c r="C287" s="57">
        <v>45816</v>
      </c>
      <c r="D287" s="56" t="s">
        <v>14</v>
      </c>
      <c r="E287" s="56" t="s">
        <v>29</v>
      </c>
      <c r="F287" s="56"/>
      <c r="G287" s="58">
        <v>4375</v>
      </c>
      <c r="H287" s="58">
        <v>303</v>
      </c>
      <c r="I287" s="58">
        <v>294</v>
      </c>
      <c r="J287" s="58">
        <v>57468</v>
      </c>
      <c r="K287" s="58">
        <v>53397</v>
      </c>
      <c r="L287" s="58">
        <v>159</v>
      </c>
      <c r="M287" s="56" t="s">
        <v>19</v>
      </c>
      <c r="N287" s="56" t="s">
        <v>354</v>
      </c>
      <c r="O287" s="56" t="s">
        <v>20</v>
      </c>
      <c r="P287" s="59">
        <f t="shared" si="8"/>
        <v>8.6517714206166912E-2</v>
      </c>
      <c r="Q287" s="4">
        <f t="shared" si="9"/>
        <v>4972</v>
      </c>
    </row>
    <row r="288" spans="1:17" ht="15.75" customHeight="1" x14ac:dyDescent="0.3">
      <c r="A288" s="55" t="s">
        <v>73</v>
      </c>
      <c r="B288" s="56" t="s">
        <v>22</v>
      </c>
      <c r="C288" s="57">
        <v>45818</v>
      </c>
      <c r="D288" s="56" t="s">
        <v>14</v>
      </c>
      <c r="E288" s="56" t="s">
        <v>18</v>
      </c>
      <c r="F288" s="56"/>
      <c r="G288" s="58">
        <v>3615</v>
      </c>
      <c r="H288" s="58">
        <v>192</v>
      </c>
      <c r="I288" s="58">
        <v>162</v>
      </c>
      <c r="J288" s="58">
        <v>27492</v>
      </c>
      <c r="K288" s="58">
        <v>35341</v>
      </c>
      <c r="L288" s="58">
        <v>125</v>
      </c>
      <c r="M288" s="56" t="s">
        <v>36</v>
      </c>
      <c r="N288" s="56"/>
      <c r="O288" s="56" t="s">
        <v>16</v>
      </c>
      <c r="P288" s="59">
        <f t="shared" si="8"/>
        <v>0.14436927106067218</v>
      </c>
      <c r="Q288" s="4">
        <f t="shared" si="9"/>
        <v>3969</v>
      </c>
    </row>
    <row r="289" spans="1:17" ht="15.75" customHeight="1" x14ac:dyDescent="0.3">
      <c r="A289" s="55" t="s">
        <v>186</v>
      </c>
      <c r="B289" s="56" t="s">
        <v>22</v>
      </c>
      <c r="C289" s="57">
        <v>45819</v>
      </c>
      <c r="D289" s="56" t="s">
        <v>23</v>
      </c>
      <c r="E289" s="56" t="s">
        <v>18</v>
      </c>
      <c r="F289" s="56"/>
      <c r="G289" s="58">
        <v>3805</v>
      </c>
      <c r="H289" s="58">
        <v>453</v>
      </c>
      <c r="I289" s="58">
        <v>63</v>
      </c>
      <c r="J289" s="58">
        <v>52395</v>
      </c>
      <c r="K289" s="58">
        <v>72934</v>
      </c>
      <c r="L289" s="58">
        <v>87</v>
      </c>
      <c r="M289" s="56" t="s">
        <v>19</v>
      </c>
      <c r="N289" s="56" t="s">
        <v>355</v>
      </c>
      <c r="O289" s="56" t="s">
        <v>16</v>
      </c>
      <c r="P289" s="59">
        <f t="shared" si="8"/>
        <v>8.2469701307376658E-2</v>
      </c>
      <c r="Q289" s="4">
        <f t="shared" si="9"/>
        <v>4321</v>
      </c>
    </row>
    <row r="290" spans="1:17" ht="15.75" customHeight="1" x14ac:dyDescent="0.3">
      <c r="A290" s="55" t="s">
        <v>55</v>
      </c>
      <c r="B290" s="56" t="s">
        <v>13</v>
      </c>
      <c r="C290" s="57">
        <v>45823</v>
      </c>
      <c r="D290" s="56" t="s">
        <v>14</v>
      </c>
      <c r="E290" s="56" t="s">
        <v>360</v>
      </c>
      <c r="F290" s="56" t="s">
        <v>361</v>
      </c>
      <c r="G290" s="58">
        <v>4896</v>
      </c>
      <c r="H290" s="58">
        <v>466</v>
      </c>
      <c r="I290" s="58">
        <v>233</v>
      </c>
      <c r="J290" s="58">
        <v>28621</v>
      </c>
      <c r="K290" s="58">
        <v>34270</v>
      </c>
      <c r="L290" s="58">
        <v>84</v>
      </c>
      <c r="M290" s="56" t="s">
        <v>39</v>
      </c>
      <c r="N290" s="56" t="s">
        <v>36</v>
      </c>
      <c r="O290" s="56" t="s">
        <v>16</v>
      </c>
      <c r="P290" s="59">
        <f t="shared" si="8"/>
        <v>0.19548583208133888</v>
      </c>
      <c r="Q290" s="4">
        <f t="shared" si="9"/>
        <v>5595</v>
      </c>
    </row>
    <row r="291" spans="1:17" ht="15.75" customHeight="1" x14ac:dyDescent="0.3">
      <c r="A291" s="55" t="s">
        <v>34</v>
      </c>
      <c r="B291" s="56" t="s">
        <v>22</v>
      </c>
      <c r="C291" s="57">
        <v>45823</v>
      </c>
      <c r="D291" s="56" t="s">
        <v>14</v>
      </c>
      <c r="E291" s="56" t="s">
        <v>35</v>
      </c>
      <c r="F291" s="56"/>
      <c r="G291" s="58">
        <v>4432</v>
      </c>
      <c r="H291" s="58">
        <v>223</v>
      </c>
      <c r="I291" s="58">
        <v>299</v>
      </c>
      <c r="J291" s="58">
        <v>59016</v>
      </c>
      <c r="K291" s="58">
        <v>21742</v>
      </c>
      <c r="L291" s="58">
        <v>171</v>
      </c>
      <c r="M291" s="56" t="s">
        <v>36</v>
      </c>
      <c r="N291" s="56"/>
      <c r="O291" s="56" t="s">
        <v>16</v>
      </c>
      <c r="P291" s="59">
        <f t="shared" si="8"/>
        <v>8.3943337400027115E-2</v>
      </c>
      <c r="Q291" s="4">
        <f t="shared" si="9"/>
        <v>4954</v>
      </c>
    </row>
    <row r="292" spans="1:17" ht="15.75" customHeight="1" x14ac:dyDescent="0.3">
      <c r="A292" s="55" t="s">
        <v>271</v>
      </c>
      <c r="B292" s="56" t="s">
        <v>13</v>
      </c>
      <c r="C292" s="57">
        <v>45823</v>
      </c>
      <c r="D292" s="56" t="s">
        <v>14</v>
      </c>
      <c r="E292" s="56" t="s">
        <v>18</v>
      </c>
      <c r="F292" s="56"/>
      <c r="G292" s="58">
        <v>2478</v>
      </c>
      <c r="H292" s="58">
        <v>427</v>
      </c>
      <c r="I292" s="58">
        <v>242</v>
      </c>
      <c r="J292" s="58">
        <v>59272</v>
      </c>
      <c r="K292" s="58">
        <v>37833</v>
      </c>
      <c r="L292" s="58">
        <v>214</v>
      </c>
      <c r="M292" s="56" t="s">
        <v>39</v>
      </c>
      <c r="N292" s="56" t="s">
        <v>36</v>
      </c>
      <c r="O292" s="56" t="s">
        <v>16</v>
      </c>
      <c r="P292" s="59">
        <f t="shared" si="8"/>
        <v>5.3094209744904843E-2</v>
      </c>
      <c r="Q292" s="4">
        <f t="shared" si="9"/>
        <v>3147</v>
      </c>
    </row>
    <row r="293" spans="1:17" ht="15.75" customHeight="1" x14ac:dyDescent="0.3">
      <c r="A293" s="60" t="s">
        <v>298</v>
      </c>
      <c r="B293" s="61" t="s">
        <v>22</v>
      </c>
      <c r="C293" s="62">
        <v>45825</v>
      </c>
      <c r="D293" s="61" t="s">
        <v>23</v>
      </c>
      <c r="E293" s="61" t="s">
        <v>18</v>
      </c>
      <c r="F293" s="61"/>
      <c r="G293" s="63">
        <v>4341</v>
      </c>
      <c r="H293" s="63">
        <v>141</v>
      </c>
      <c r="I293" s="63">
        <v>63</v>
      </c>
      <c r="J293" s="63">
        <v>50081</v>
      </c>
      <c r="K293" s="63">
        <v>27507</v>
      </c>
      <c r="L293" s="63">
        <v>221</v>
      </c>
      <c r="M293" s="61" t="s">
        <v>19</v>
      </c>
      <c r="N293" s="61" t="s">
        <v>355</v>
      </c>
      <c r="O293" s="61" t="s">
        <v>16</v>
      </c>
      <c r="P293" s="64">
        <f t="shared" si="8"/>
        <v>9.0752980172121162E-2</v>
      </c>
      <c r="Q293" s="4">
        <f t="shared" si="9"/>
        <v>4545</v>
      </c>
    </row>
    <row r="294" spans="1:17" ht="15.75" customHeight="1" x14ac:dyDescent="0.3">
      <c r="A294" s="55" t="s">
        <v>113</v>
      </c>
      <c r="B294" s="56" t="s">
        <v>13</v>
      </c>
      <c r="C294" s="57">
        <v>45825</v>
      </c>
      <c r="D294" s="56" t="s">
        <v>14</v>
      </c>
      <c r="E294" s="56" t="s">
        <v>29</v>
      </c>
      <c r="F294" s="56"/>
      <c r="G294" s="58">
        <v>2284</v>
      </c>
      <c r="H294" s="58">
        <v>187</v>
      </c>
      <c r="I294" s="58">
        <v>260</v>
      </c>
      <c r="J294" s="58">
        <v>37400</v>
      </c>
      <c r="K294" s="58">
        <v>65014</v>
      </c>
      <c r="L294" s="58">
        <v>157</v>
      </c>
      <c r="M294" s="56" t="s">
        <v>39</v>
      </c>
      <c r="N294" s="56" t="s">
        <v>36</v>
      </c>
      <c r="O294" s="56" t="s">
        <v>16</v>
      </c>
      <c r="P294" s="59">
        <f t="shared" si="8"/>
        <v>7.3021390374331557E-2</v>
      </c>
      <c r="Q294" s="4">
        <f t="shared" si="9"/>
        <v>2731</v>
      </c>
    </row>
    <row r="295" spans="1:17" ht="15.75" customHeight="1" x14ac:dyDescent="0.3">
      <c r="A295" s="60" t="s">
        <v>41</v>
      </c>
      <c r="B295" s="61" t="s">
        <v>22</v>
      </c>
      <c r="C295" s="62">
        <v>45826</v>
      </c>
      <c r="D295" s="61" t="s">
        <v>23</v>
      </c>
      <c r="E295" s="61" t="s">
        <v>15</v>
      </c>
      <c r="F295" s="61"/>
      <c r="G295" s="63">
        <v>3956</v>
      </c>
      <c r="H295" s="63">
        <v>319</v>
      </c>
      <c r="I295" s="63">
        <v>61</v>
      </c>
      <c r="J295" s="63">
        <v>58162</v>
      </c>
      <c r="K295" s="63">
        <v>28720</v>
      </c>
      <c r="L295" s="63">
        <v>213</v>
      </c>
      <c r="M295" s="61" t="s">
        <v>355</v>
      </c>
      <c r="N295" s="61" t="s">
        <v>36</v>
      </c>
      <c r="O295" s="61" t="s">
        <v>16</v>
      </c>
      <c r="P295" s="64">
        <f t="shared" si="8"/>
        <v>7.4550393727863554E-2</v>
      </c>
      <c r="Q295" s="4">
        <f t="shared" si="9"/>
        <v>4336</v>
      </c>
    </row>
    <row r="296" spans="1:17" ht="15.75" customHeight="1" x14ac:dyDescent="0.3">
      <c r="A296" s="60" t="s">
        <v>245</v>
      </c>
      <c r="B296" s="61" t="s">
        <v>22</v>
      </c>
      <c r="C296" s="62">
        <v>45827</v>
      </c>
      <c r="D296" s="61" t="s">
        <v>23</v>
      </c>
      <c r="E296" s="61" t="s">
        <v>360</v>
      </c>
      <c r="F296" s="61" t="s">
        <v>361</v>
      </c>
      <c r="G296" s="63">
        <v>1433</v>
      </c>
      <c r="H296" s="63">
        <v>452</v>
      </c>
      <c r="I296" s="63">
        <v>305</v>
      </c>
      <c r="J296" s="63">
        <v>54541</v>
      </c>
      <c r="K296" s="63">
        <v>63700</v>
      </c>
      <c r="L296" s="63">
        <v>296</v>
      </c>
      <c r="M296" s="61" t="s">
        <v>19</v>
      </c>
      <c r="N296" s="61" t="s">
        <v>355</v>
      </c>
      <c r="O296" s="61" t="s">
        <v>16</v>
      </c>
      <c r="P296" s="64">
        <f t="shared" si="8"/>
        <v>4.0153279184466734E-2</v>
      </c>
      <c r="Q296" s="4">
        <f t="shared" si="9"/>
        <v>2190</v>
      </c>
    </row>
    <row r="297" spans="1:17" ht="15.75" customHeight="1" x14ac:dyDescent="0.3">
      <c r="A297" s="55" t="s">
        <v>255</v>
      </c>
      <c r="B297" s="56" t="s">
        <v>22</v>
      </c>
      <c r="C297" s="57">
        <v>45829</v>
      </c>
      <c r="D297" s="56" t="s">
        <v>14</v>
      </c>
      <c r="E297" s="56" t="s">
        <v>18</v>
      </c>
      <c r="F297" s="56"/>
      <c r="G297" s="58">
        <v>3611</v>
      </c>
      <c r="H297" s="58">
        <v>127</v>
      </c>
      <c r="I297" s="58">
        <v>139</v>
      </c>
      <c r="J297" s="58">
        <v>44768</v>
      </c>
      <c r="K297" s="58">
        <v>29435</v>
      </c>
      <c r="L297" s="58">
        <v>178</v>
      </c>
      <c r="M297" s="56" t="s">
        <v>36</v>
      </c>
      <c r="N297" s="56"/>
      <c r="O297" s="56" t="s">
        <v>16</v>
      </c>
      <c r="P297" s="59">
        <f t="shared" si="8"/>
        <v>8.6602037169406718E-2</v>
      </c>
      <c r="Q297" s="4">
        <f t="shared" si="9"/>
        <v>3877</v>
      </c>
    </row>
    <row r="298" spans="1:17" ht="15.75" customHeight="1" x14ac:dyDescent="0.3">
      <c r="A298" s="55" t="s">
        <v>246</v>
      </c>
      <c r="B298" s="56" t="s">
        <v>13</v>
      </c>
      <c r="C298" s="57">
        <v>45832</v>
      </c>
      <c r="D298" s="56" t="s">
        <v>23</v>
      </c>
      <c r="E298" s="56" t="s">
        <v>32</v>
      </c>
      <c r="F298" s="56"/>
      <c r="G298" s="58">
        <v>4902</v>
      </c>
      <c r="H298" s="58">
        <v>422</v>
      </c>
      <c r="I298" s="58">
        <v>376</v>
      </c>
      <c r="J298" s="58">
        <v>31674</v>
      </c>
      <c r="K298" s="58">
        <v>53225</v>
      </c>
      <c r="L298" s="58">
        <v>147</v>
      </c>
      <c r="M298" s="56" t="s">
        <v>36</v>
      </c>
      <c r="N298" s="56"/>
      <c r="O298" s="56" t="s">
        <v>49</v>
      </c>
      <c r="P298" s="59">
        <f t="shared" si="8"/>
        <v>0.17995832544042431</v>
      </c>
      <c r="Q298" s="4">
        <f t="shared" si="9"/>
        <v>5700</v>
      </c>
    </row>
    <row r="299" spans="1:17" ht="15.75" customHeight="1" x14ac:dyDescent="0.3">
      <c r="A299" s="55" t="s">
        <v>197</v>
      </c>
      <c r="B299" s="56" t="s">
        <v>13</v>
      </c>
      <c r="C299" s="57">
        <v>45835</v>
      </c>
      <c r="D299" s="56" t="s">
        <v>23</v>
      </c>
      <c r="E299" s="56" t="s">
        <v>360</v>
      </c>
      <c r="F299" s="56" t="s">
        <v>361</v>
      </c>
      <c r="G299" s="58">
        <v>1342</v>
      </c>
      <c r="H299" s="58">
        <v>332</v>
      </c>
      <c r="I299" s="58">
        <v>163</v>
      </c>
      <c r="J299" s="58">
        <v>51712</v>
      </c>
      <c r="K299" s="58">
        <v>57922</v>
      </c>
      <c r="L299" s="58">
        <v>168</v>
      </c>
      <c r="M299" s="56" t="s">
        <v>36</v>
      </c>
      <c r="N299" s="56"/>
      <c r="O299" s="56" t="s">
        <v>49</v>
      </c>
      <c r="P299" s="59">
        <f t="shared" si="8"/>
        <v>3.5523669554455448E-2</v>
      </c>
      <c r="Q299" s="4">
        <f t="shared" si="9"/>
        <v>1837</v>
      </c>
    </row>
    <row r="300" spans="1:17" ht="15.75" customHeight="1" x14ac:dyDescent="0.3">
      <c r="A300" s="60" t="s">
        <v>331</v>
      </c>
      <c r="B300" s="61" t="s">
        <v>22</v>
      </c>
      <c r="C300" s="62">
        <v>45838</v>
      </c>
      <c r="D300" s="61" t="s">
        <v>14</v>
      </c>
      <c r="E300" s="61" t="s">
        <v>360</v>
      </c>
      <c r="F300" s="61" t="s">
        <v>361</v>
      </c>
      <c r="G300" s="63">
        <v>2275</v>
      </c>
      <c r="H300" s="63">
        <v>285</v>
      </c>
      <c r="I300" s="63">
        <v>125</v>
      </c>
      <c r="J300" s="63">
        <v>43970</v>
      </c>
      <c r="K300" s="63">
        <v>74761</v>
      </c>
      <c r="L300" s="63">
        <v>83</v>
      </c>
      <c r="M300" s="61" t="s">
        <v>36</v>
      </c>
      <c r="N300" s="61"/>
      <c r="O300" s="61" t="s">
        <v>16</v>
      </c>
      <c r="P300" s="64">
        <f t="shared" si="8"/>
        <v>6.1064362065044349E-2</v>
      </c>
      <c r="Q300" s="4">
        <f t="shared" si="9"/>
        <v>2685</v>
      </c>
    </row>
    <row r="301" spans="1:17" ht="15.75" customHeight="1" x14ac:dyDescent="0.3">
      <c r="A301" s="70" t="s">
        <v>162</v>
      </c>
      <c r="B301" s="71" t="s">
        <v>22</v>
      </c>
      <c r="C301" s="72">
        <v>45839</v>
      </c>
      <c r="D301" s="71" t="s">
        <v>23</v>
      </c>
      <c r="E301" s="71" t="s">
        <v>18</v>
      </c>
      <c r="F301" s="71"/>
      <c r="G301" s="73">
        <v>3219</v>
      </c>
      <c r="H301" s="73">
        <v>424</v>
      </c>
      <c r="I301" s="73">
        <v>267</v>
      </c>
      <c r="J301" s="73">
        <v>48879</v>
      </c>
      <c r="K301" s="73">
        <v>37691</v>
      </c>
      <c r="L301" s="73">
        <v>224</v>
      </c>
      <c r="M301" s="71" t="s">
        <v>19</v>
      </c>
      <c r="N301" s="71" t="s">
        <v>355</v>
      </c>
      <c r="O301" s="71" t="s">
        <v>16</v>
      </c>
      <c r="P301" s="74">
        <f t="shared" si="8"/>
        <v>7.9993453221219743E-2</v>
      </c>
      <c r="Q301" s="4">
        <f t="shared" si="9"/>
        <v>3910</v>
      </c>
    </row>
    <row r="302" spans="1:17" ht="15.75" customHeight="1" x14ac:dyDescent="0.3"/>
    <row r="303" spans="1:17" ht="15.75" customHeight="1" x14ac:dyDescent="0.3"/>
    <row r="304" spans="1:17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P1" xr:uid="{00000000-0001-0000-0000-000000000000}">
    <sortState xmlns:xlrd2="http://schemas.microsoft.com/office/spreadsheetml/2017/richdata2" ref="A2:P301">
      <sortCondition ref="C1"/>
    </sortState>
  </autoFilter>
  <sortState xmlns:xlrd2="http://schemas.microsoft.com/office/spreadsheetml/2017/richdata2" ref="A2:P1000">
    <sortCondition descending="1" ref="P1:P1000"/>
  </sortState>
  <conditionalFormatting sqref="P1:P1048576">
    <cfRule type="top10" dxfId="1" priority="1" rank="10"/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1D31-772A-4150-993B-4C7336D9C6F6}">
  <sheetPr>
    <tabColor rgb="FF92D050"/>
  </sheetPr>
  <dimension ref="A1:T71"/>
  <sheetViews>
    <sheetView tabSelected="1" topLeftCell="A6" workbookViewId="0">
      <selection activeCell="O15" sqref="O15"/>
    </sheetView>
  </sheetViews>
  <sheetFormatPr defaultRowHeight="14.4" x14ac:dyDescent="0.3"/>
  <cols>
    <col min="1" max="1" width="17" style="77" customWidth="1"/>
    <col min="2" max="2" width="14.109375" customWidth="1"/>
    <col min="3" max="3" width="11.109375" customWidth="1"/>
    <col min="6" max="6" width="21.6640625" customWidth="1"/>
    <col min="7" max="7" width="13.33203125" customWidth="1"/>
  </cols>
  <sheetData>
    <row r="1" spans="1:20" x14ac:dyDescent="0.3">
      <c r="A1" s="91" t="s">
        <v>373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</row>
    <row r="2" spans="1:20" x14ac:dyDescent="0.3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</row>
    <row r="3" spans="1:20" x14ac:dyDescent="0.3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</row>
    <row r="4" spans="1:20" ht="43.2" x14ac:dyDescent="0.3">
      <c r="A4" s="78" t="s">
        <v>376</v>
      </c>
      <c r="B4" s="79" t="s">
        <v>374</v>
      </c>
      <c r="C4" s="79" t="s">
        <v>375</v>
      </c>
      <c r="D4" s="79" t="s">
        <v>381</v>
      </c>
      <c r="F4" s="86" t="s">
        <v>378</v>
      </c>
      <c r="G4" s="87">
        <f>MAX(D5:D71)</f>
        <v>3576</v>
      </c>
    </row>
    <row r="5" spans="1:20" ht="14.4" customHeight="1" x14ac:dyDescent="0.3">
      <c r="A5" s="77" cm="1">
        <f t="array" ref="A5:A71">_xlfn.UNIQUE('task 6 Engagement Summary'!A2:A201)</f>
        <v>45446</v>
      </c>
      <c r="B5">
        <f>SUMIFS('task 6 Engagement Summary'!$C$2:$C$201,'task 6 Engagement Summary'!$A$2:$A$201,'Task 6.1'!$A5)</f>
        <v>3869</v>
      </c>
      <c r="C5">
        <f>SUMIFS('task 6 Engagement Summary'!$D$2:$D$201,'task 6 Engagement Summary'!$A$2:$A$201,'Task 6.1'!$A5)</f>
        <v>450</v>
      </c>
      <c r="D5">
        <f>B5-C5</f>
        <v>3419</v>
      </c>
      <c r="F5" s="93" t="s">
        <v>377</v>
      </c>
      <c r="G5" s="94">
        <f>INDEX(_xlfn.ANCHORARRAY(A5),MATCH(G4,D5:D71,0))</f>
        <v>45600</v>
      </c>
    </row>
    <row r="6" spans="1:20" x14ac:dyDescent="0.3">
      <c r="A6" s="77">
        <v>45453</v>
      </c>
      <c r="B6">
        <f>SUMIFS('task 6 Engagement Summary'!$C$2:$C$201,'task 6 Engagement Summary'!$A$2:$A$201,'Task 6.1'!$A6)</f>
        <v>3024</v>
      </c>
      <c r="C6">
        <f>SUMIFS('task 6 Engagement Summary'!$D$2:$D$201,'task 6 Engagement Summary'!$A$2:$A$201,'Task 6.1'!$A6)</f>
        <v>247</v>
      </c>
      <c r="D6">
        <f t="shared" ref="D6:D69" si="0">B6-C6</f>
        <v>2777</v>
      </c>
      <c r="F6" s="93"/>
      <c r="G6" s="94"/>
    </row>
    <row r="7" spans="1:20" x14ac:dyDescent="0.3">
      <c r="A7" s="77">
        <v>45460</v>
      </c>
      <c r="B7">
        <f>SUMIFS('task 6 Engagement Summary'!$C$2:$C$201,'task 6 Engagement Summary'!$A$2:$A$201,'Task 6.1'!$A7)</f>
        <v>3767</v>
      </c>
      <c r="C7">
        <f>SUMIFS('task 6 Engagement Summary'!$D$2:$D$201,'task 6 Engagement Summary'!$A$2:$A$201,'Task 6.1'!$A7)</f>
        <v>592</v>
      </c>
      <c r="D7">
        <f t="shared" si="0"/>
        <v>3175</v>
      </c>
      <c r="F7" s="93"/>
      <c r="G7" s="94"/>
    </row>
    <row r="8" spans="1:20" x14ac:dyDescent="0.3">
      <c r="A8" s="77">
        <v>45467</v>
      </c>
      <c r="B8">
        <f>SUMIFS('task 6 Engagement Summary'!$C$2:$C$201,'task 6 Engagement Summary'!$A$2:$A$201,'Task 6.1'!$A8)</f>
        <v>3024</v>
      </c>
      <c r="C8">
        <f>SUMIFS('task 6 Engagement Summary'!$D$2:$D$201,'task 6 Engagement Summary'!$A$2:$A$201,'Task 6.1'!$A8)</f>
        <v>591</v>
      </c>
      <c r="D8">
        <f t="shared" si="0"/>
        <v>2433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</row>
    <row r="9" spans="1:20" x14ac:dyDescent="0.3">
      <c r="A9" s="77">
        <v>45474</v>
      </c>
      <c r="B9">
        <f>SUMIFS('task 6 Engagement Summary'!$C$2:$C$201,'task 6 Engagement Summary'!$A$2:$A$201,'Task 6.1'!$A9)</f>
        <v>2849</v>
      </c>
      <c r="C9">
        <f>SUMIFS('task 6 Engagement Summary'!$D$2:$D$201,'task 6 Engagement Summary'!$A$2:$A$201,'Task 6.1'!$A9)</f>
        <v>423</v>
      </c>
      <c r="D9">
        <f t="shared" si="0"/>
        <v>2426</v>
      </c>
      <c r="F9" s="75"/>
      <c r="G9" s="92" t="s">
        <v>379</v>
      </c>
      <c r="H9" s="92"/>
      <c r="I9" s="92"/>
      <c r="J9" s="92"/>
      <c r="K9" s="92"/>
      <c r="L9" s="92"/>
      <c r="M9" s="92"/>
      <c r="N9" s="75"/>
      <c r="O9" s="75"/>
      <c r="P9" s="75"/>
      <c r="Q9" s="75"/>
      <c r="R9" s="75"/>
      <c r="S9" s="75"/>
    </row>
    <row r="10" spans="1:20" x14ac:dyDescent="0.3">
      <c r="A10" s="77">
        <v>45481</v>
      </c>
      <c r="B10">
        <f>SUMIFS('task 6 Engagement Summary'!$C$2:$C$201,'task 6 Engagement Summary'!$A$2:$A$201,'Task 6.1'!$A10)</f>
        <v>3521</v>
      </c>
      <c r="C10">
        <f>SUMIFS('task 6 Engagement Summary'!$D$2:$D$201,'task 6 Engagement Summary'!$A$2:$A$201,'Task 6.1'!$A10)</f>
        <v>366</v>
      </c>
      <c r="D10">
        <f t="shared" si="0"/>
        <v>3155</v>
      </c>
      <c r="F10" s="75"/>
      <c r="G10" s="89" t="s">
        <v>380</v>
      </c>
      <c r="H10" s="89"/>
      <c r="I10" s="89"/>
      <c r="J10" s="89"/>
      <c r="K10" s="89"/>
      <c r="L10" s="89"/>
      <c r="M10" s="89"/>
      <c r="N10" s="75"/>
      <c r="O10" s="75"/>
      <c r="P10" s="75"/>
      <c r="Q10" s="75"/>
      <c r="R10" s="75"/>
      <c r="S10" s="75"/>
    </row>
    <row r="11" spans="1:20" x14ac:dyDescent="0.3">
      <c r="A11" s="77">
        <v>45488</v>
      </c>
      <c r="B11">
        <f>SUMIFS('task 6 Engagement Summary'!$C$2:$C$201,'task 6 Engagement Summary'!$A$2:$A$201,'Task 6.1'!$A11)</f>
        <v>2905</v>
      </c>
      <c r="C11">
        <f>SUMIFS('task 6 Engagement Summary'!$D$2:$D$201,'task 6 Engagement Summary'!$A$2:$A$201,'Task 6.1'!$A11)</f>
        <v>536</v>
      </c>
      <c r="D11">
        <f t="shared" si="0"/>
        <v>2369</v>
      </c>
      <c r="F11" s="75"/>
      <c r="G11" s="89"/>
      <c r="H11" s="89"/>
      <c r="I11" s="89"/>
      <c r="J11" s="89"/>
      <c r="K11" s="89"/>
      <c r="L11" s="89"/>
      <c r="M11" s="89"/>
      <c r="N11" s="75"/>
      <c r="O11" s="75"/>
      <c r="P11" s="75"/>
      <c r="Q11" s="75"/>
      <c r="R11" s="75"/>
      <c r="S11" s="75"/>
    </row>
    <row r="12" spans="1:20" x14ac:dyDescent="0.3">
      <c r="A12" s="77">
        <v>45495</v>
      </c>
      <c r="B12">
        <f>SUMIFS('task 6 Engagement Summary'!$C$2:$C$201,'task 6 Engagement Summary'!$A$2:$A$201,'Task 6.1'!$A12)</f>
        <v>2654</v>
      </c>
      <c r="C12">
        <f>SUMIFS('task 6 Engagement Summary'!$D$2:$D$201,'task 6 Engagement Summary'!$A$2:$A$201,'Task 6.1'!$A12)</f>
        <v>373</v>
      </c>
      <c r="D12">
        <f t="shared" si="0"/>
        <v>2281</v>
      </c>
      <c r="F12" s="75"/>
      <c r="G12" s="95" t="s">
        <v>382</v>
      </c>
      <c r="H12" s="96"/>
      <c r="I12" s="96"/>
      <c r="J12" s="96"/>
      <c r="K12" s="96"/>
      <c r="L12" s="96"/>
      <c r="M12" s="96"/>
      <c r="N12" s="75"/>
      <c r="O12" s="75"/>
      <c r="P12" s="75"/>
      <c r="Q12" s="75"/>
      <c r="R12" s="75"/>
      <c r="S12" s="75"/>
    </row>
    <row r="13" spans="1:20" x14ac:dyDescent="0.3">
      <c r="A13" s="77">
        <v>45502</v>
      </c>
      <c r="B13">
        <f>SUMIFS('task 6 Engagement Summary'!$C$2:$C$201,'task 6 Engagement Summary'!$A$2:$A$201,'Task 6.1'!$A13)</f>
        <v>2567</v>
      </c>
      <c r="C13">
        <f>SUMIFS('task 6 Engagement Summary'!$D$2:$D$201,'task 6 Engagement Summary'!$A$2:$A$201,'Task 6.1'!$A13)</f>
        <v>435</v>
      </c>
      <c r="D13">
        <f t="shared" si="0"/>
        <v>2132</v>
      </c>
      <c r="F13" s="75"/>
      <c r="G13" s="96"/>
      <c r="H13" s="96"/>
      <c r="I13" s="96"/>
      <c r="J13" s="96"/>
      <c r="K13" s="96"/>
      <c r="L13" s="96"/>
      <c r="M13" s="96"/>
      <c r="N13" s="75"/>
      <c r="O13" s="75"/>
      <c r="P13" s="75"/>
      <c r="Q13" s="75"/>
      <c r="R13" s="75"/>
      <c r="S13" s="75"/>
    </row>
    <row r="14" spans="1:20" x14ac:dyDescent="0.3">
      <c r="A14" s="77">
        <v>45509</v>
      </c>
      <c r="B14">
        <f>SUMIFS('task 6 Engagement Summary'!$C$2:$C$201,'task 6 Engagement Summary'!$A$2:$A$201,'Task 6.1'!$A14)</f>
        <v>3138</v>
      </c>
      <c r="C14">
        <f>SUMIFS('task 6 Engagement Summary'!$D$2:$D$201,'task 6 Engagement Summary'!$A$2:$A$201,'Task 6.1'!$A14)</f>
        <v>445</v>
      </c>
      <c r="D14">
        <f t="shared" si="0"/>
        <v>2693</v>
      </c>
      <c r="F14" s="75"/>
      <c r="G14" s="96"/>
      <c r="H14" s="96"/>
      <c r="I14" s="96"/>
      <c r="J14" s="96"/>
      <c r="K14" s="96"/>
      <c r="L14" s="96"/>
      <c r="M14" s="96"/>
      <c r="N14" s="75"/>
      <c r="O14" s="75"/>
      <c r="P14" s="75"/>
      <c r="Q14" s="75"/>
      <c r="R14" s="75"/>
      <c r="S14" s="75"/>
    </row>
    <row r="15" spans="1:20" x14ac:dyDescent="0.3">
      <c r="A15" s="77">
        <v>45516</v>
      </c>
      <c r="B15">
        <f>SUMIFS('task 6 Engagement Summary'!$C$2:$C$201,'task 6 Engagement Summary'!$A$2:$A$201,'Task 6.1'!$A15)</f>
        <v>3625</v>
      </c>
      <c r="C15">
        <f>SUMIFS('task 6 Engagement Summary'!$D$2:$D$201,'task 6 Engagement Summary'!$A$2:$A$201,'Task 6.1'!$A15)</f>
        <v>553</v>
      </c>
      <c r="D15">
        <f t="shared" si="0"/>
        <v>3072</v>
      </c>
      <c r="F15" s="75"/>
      <c r="G15" s="97" t="s">
        <v>383</v>
      </c>
      <c r="H15" s="98"/>
      <c r="I15" s="98"/>
      <c r="J15" s="98"/>
      <c r="K15" s="98"/>
      <c r="L15" s="98"/>
      <c r="M15" s="98"/>
      <c r="N15" s="75"/>
      <c r="O15" s="75"/>
      <c r="P15" s="75"/>
      <c r="Q15" s="75"/>
      <c r="R15" s="75"/>
      <c r="S15" s="75"/>
    </row>
    <row r="16" spans="1:20" x14ac:dyDescent="0.3">
      <c r="A16" s="77">
        <v>45523</v>
      </c>
      <c r="B16">
        <f>SUMIFS('task 6 Engagement Summary'!$C$2:$C$201,'task 6 Engagement Summary'!$A$2:$A$201,'Task 6.1'!$A16)</f>
        <v>2813</v>
      </c>
      <c r="C16">
        <f>SUMIFS('task 6 Engagement Summary'!$D$2:$D$201,'task 6 Engagement Summary'!$A$2:$A$201,'Task 6.1'!$A16)</f>
        <v>513</v>
      </c>
      <c r="D16">
        <f t="shared" si="0"/>
        <v>2300</v>
      </c>
      <c r="F16" s="75"/>
      <c r="G16" s="98"/>
      <c r="H16" s="98"/>
      <c r="I16" s="98"/>
      <c r="J16" s="98"/>
      <c r="K16" s="98"/>
      <c r="L16" s="98"/>
      <c r="M16" s="98"/>
      <c r="N16" s="75"/>
      <c r="O16" s="75"/>
      <c r="P16" s="75"/>
      <c r="Q16" s="75"/>
      <c r="R16" s="75"/>
      <c r="S16" s="75"/>
    </row>
    <row r="17" spans="1:19" x14ac:dyDescent="0.3">
      <c r="A17" s="77">
        <v>45530</v>
      </c>
      <c r="B17">
        <f>SUMIFS('task 6 Engagement Summary'!$C$2:$C$201,'task 6 Engagement Summary'!$A$2:$A$201,'Task 6.1'!$A17)</f>
        <v>3147</v>
      </c>
      <c r="C17">
        <f>SUMIFS('task 6 Engagement Summary'!$D$2:$D$201,'task 6 Engagement Summary'!$A$2:$A$201,'Task 6.1'!$A17)</f>
        <v>697</v>
      </c>
      <c r="D17">
        <f t="shared" si="0"/>
        <v>2450</v>
      </c>
      <c r="F17" s="75"/>
      <c r="G17" s="98"/>
      <c r="H17" s="98"/>
      <c r="I17" s="98"/>
      <c r="J17" s="98"/>
      <c r="K17" s="98"/>
      <c r="L17" s="98"/>
      <c r="M17" s="98"/>
      <c r="N17" s="75"/>
      <c r="O17" s="75"/>
      <c r="P17" s="75"/>
      <c r="Q17" s="75"/>
      <c r="R17" s="75"/>
      <c r="S17" s="75"/>
    </row>
    <row r="18" spans="1:19" x14ac:dyDescent="0.3">
      <c r="A18" s="77">
        <v>45537</v>
      </c>
      <c r="B18">
        <f>SUMIFS('task 6 Engagement Summary'!$C$2:$C$201,'task 6 Engagement Summary'!$A$2:$A$201,'Task 6.1'!$A18)</f>
        <v>2915</v>
      </c>
      <c r="C18">
        <f>SUMIFS('task 6 Engagement Summary'!$D$2:$D$201,'task 6 Engagement Summary'!$A$2:$A$201,'Task 6.1'!$A18)</f>
        <v>413</v>
      </c>
      <c r="D18">
        <f t="shared" si="0"/>
        <v>2502</v>
      </c>
      <c r="F18" s="75"/>
      <c r="G18" s="98"/>
      <c r="H18" s="98"/>
      <c r="I18" s="98"/>
      <c r="J18" s="98"/>
      <c r="K18" s="98"/>
      <c r="L18" s="98"/>
      <c r="M18" s="98"/>
      <c r="N18" s="75"/>
      <c r="O18" s="75"/>
      <c r="P18" s="75"/>
      <c r="Q18" s="75"/>
      <c r="R18" s="75"/>
      <c r="S18" s="75"/>
    </row>
    <row r="19" spans="1:19" ht="14.4" customHeight="1" x14ac:dyDescent="0.3">
      <c r="A19" s="77">
        <v>45544</v>
      </c>
      <c r="B19">
        <f>SUMIFS('task 6 Engagement Summary'!$C$2:$C$201,'task 6 Engagement Summary'!$A$2:$A$201,'Task 6.1'!$A19)</f>
        <v>3196</v>
      </c>
      <c r="C19">
        <f>SUMIFS('task 6 Engagement Summary'!$D$2:$D$201,'task 6 Engagement Summary'!$A$2:$A$201,'Task 6.1'!$A19)</f>
        <v>566</v>
      </c>
      <c r="D19">
        <f t="shared" si="0"/>
        <v>2630</v>
      </c>
      <c r="F19" s="75"/>
      <c r="G19" s="89" t="s">
        <v>384</v>
      </c>
      <c r="H19" s="89"/>
      <c r="I19" s="89"/>
      <c r="J19" s="89"/>
      <c r="K19" s="89"/>
      <c r="L19" s="89"/>
      <c r="M19" s="89"/>
      <c r="N19" s="75"/>
      <c r="O19" s="75"/>
      <c r="P19" s="75"/>
      <c r="Q19" s="75"/>
      <c r="R19" s="75"/>
      <c r="S19" s="75"/>
    </row>
    <row r="20" spans="1:19" x14ac:dyDescent="0.3">
      <c r="A20" s="77">
        <v>45551</v>
      </c>
      <c r="B20">
        <f>SUMIFS('task 6 Engagement Summary'!$C$2:$C$201,'task 6 Engagement Summary'!$A$2:$A$201,'Task 6.1'!$A20)</f>
        <v>2739</v>
      </c>
      <c r="C20">
        <f>SUMIFS('task 6 Engagement Summary'!$D$2:$D$201,'task 6 Engagement Summary'!$A$2:$A$201,'Task 6.1'!$A20)</f>
        <v>577</v>
      </c>
      <c r="D20">
        <f t="shared" si="0"/>
        <v>2162</v>
      </c>
      <c r="G20" s="89"/>
      <c r="H20" s="89"/>
      <c r="I20" s="89"/>
      <c r="J20" s="89"/>
      <c r="K20" s="89"/>
      <c r="L20" s="89"/>
      <c r="M20" s="89"/>
    </row>
    <row r="21" spans="1:19" x14ac:dyDescent="0.3">
      <c r="A21" s="77">
        <v>45558</v>
      </c>
      <c r="B21">
        <f>SUMIFS('task 6 Engagement Summary'!$C$2:$C$201,'task 6 Engagement Summary'!$A$2:$A$201,'Task 6.1'!$A21)</f>
        <v>3496</v>
      </c>
      <c r="C21">
        <f>SUMIFS('task 6 Engagement Summary'!$D$2:$D$201,'task 6 Engagement Summary'!$A$2:$A$201,'Task 6.1'!$A21)</f>
        <v>711</v>
      </c>
      <c r="D21">
        <f t="shared" si="0"/>
        <v>2785</v>
      </c>
      <c r="G21" s="89" t="s">
        <v>385</v>
      </c>
      <c r="H21" s="90"/>
      <c r="I21" s="90"/>
      <c r="J21" s="90"/>
      <c r="K21" s="90"/>
      <c r="L21" s="90"/>
      <c r="M21" s="90"/>
    </row>
    <row r="22" spans="1:19" x14ac:dyDescent="0.3">
      <c r="A22" s="77">
        <v>45565</v>
      </c>
      <c r="B22">
        <f>SUMIFS('task 6 Engagement Summary'!$C$2:$C$201,'task 6 Engagement Summary'!$A$2:$A$201,'Task 6.1'!$A22)</f>
        <v>3835</v>
      </c>
      <c r="C22">
        <f>SUMIFS('task 6 Engagement Summary'!$D$2:$D$201,'task 6 Engagement Summary'!$A$2:$A$201,'Task 6.1'!$A22)</f>
        <v>684</v>
      </c>
      <c r="D22">
        <f t="shared" si="0"/>
        <v>3151</v>
      </c>
      <c r="G22" s="90"/>
      <c r="H22" s="90"/>
      <c r="I22" s="90"/>
      <c r="J22" s="90"/>
      <c r="K22" s="90"/>
      <c r="L22" s="90"/>
      <c r="M22" s="90"/>
    </row>
    <row r="23" spans="1:19" x14ac:dyDescent="0.3">
      <c r="A23" s="77">
        <v>45572</v>
      </c>
      <c r="B23">
        <f>SUMIFS('task 6 Engagement Summary'!$C$2:$C$201,'task 6 Engagement Summary'!$A$2:$A$201,'Task 6.1'!$A23)</f>
        <v>2770</v>
      </c>
      <c r="C23">
        <f>SUMIFS('task 6 Engagement Summary'!$D$2:$D$201,'task 6 Engagement Summary'!$A$2:$A$201,'Task 6.1'!$A23)</f>
        <v>432</v>
      </c>
      <c r="D23">
        <f t="shared" si="0"/>
        <v>2338</v>
      </c>
      <c r="G23" s="89" t="s">
        <v>386</v>
      </c>
      <c r="H23" s="89"/>
      <c r="I23" s="89"/>
      <c r="J23" s="89"/>
      <c r="K23" s="89"/>
      <c r="L23" s="89"/>
      <c r="M23" s="89"/>
    </row>
    <row r="24" spans="1:19" x14ac:dyDescent="0.3">
      <c r="A24" s="77">
        <v>45579</v>
      </c>
      <c r="B24">
        <f>SUMIFS('task 6 Engagement Summary'!$C$2:$C$201,'task 6 Engagement Summary'!$A$2:$A$201,'Task 6.1'!$A24)</f>
        <v>3206</v>
      </c>
      <c r="C24">
        <f>SUMIFS('task 6 Engagement Summary'!$D$2:$D$201,'task 6 Engagement Summary'!$A$2:$A$201,'Task 6.1'!$A24)</f>
        <v>536</v>
      </c>
      <c r="D24">
        <f t="shared" si="0"/>
        <v>2670</v>
      </c>
      <c r="G24" s="89"/>
      <c r="H24" s="89"/>
      <c r="I24" s="89"/>
      <c r="J24" s="89"/>
      <c r="K24" s="89"/>
      <c r="L24" s="89"/>
      <c r="M24" s="89"/>
    </row>
    <row r="25" spans="1:19" x14ac:dyDescent="0.3">
      <c r="A25" s="77">
        <v>45586</v>
      </c>
      <c r="B25">
        <f>SUMIFS('task 6 Engagement Summary'!$C$2:$C$201,'task 6 Engagement Summary'!$A$2:$A$201,'Task 6.1'!$A25)</f>
        <v>3313</v>
      </c>
      <c r="C25">
        <f>SUMIFS('task 6 Engagement Summary'!$D$2:$D$201,'task 6 Engagement Summary'!$A$2:$A$201,'Task 6.1'!$A25)</f>
        <v>521</v>
      </c>
      <c r="D25">
        <f t="shared" si="0"/>
        <v>2792</v>
      </c>
      <c r="G25" s="89"/>
      <c r="H25" s="89"/>
      <c r="I25" s="89"/>
      <c r="J25" s="89"/>
      <c r="K25" s="89"/>
      <c r="L25" s="89"/>
      <c r="M25" s="89"/>
    </row>
    <row r="26" spans="1:19" x14ac:dyDescent="0.3">
      <c r="A26" s="77">
        <v>45593</v>
      </c>
      <c r="B26">
        <f>SUMIFS('task 6 Engagement Summary'!$C$2:$C$201,'task 6 Engagement Summary'!$A$2:$A$201,'Task 6.1'!$A26)</f>
        <v>2940</v>
      </c>
      <c r="C26">
        <f>SUMIFS('task 6 Engagement Summary'!$D$2:$D$201,'task 6 Engagement Summary'!$A$2:$A$201,'Task 6.1'!$A26)</f>
        <v>759</v>
      </c>
      <c r="D26">
        <f t="shared" si="0"/>
        <v>2181</v>
      </c>
    </row>
    <row r="27" spans="1:19" x14ac:dyDescent="0.3">
      <c r="A27" s="77">
        <v>45600</v>
      </c>
      <c r="B27">
        <f>SUMIFS('task 6 Engagement Summary'!$C$2:$C$201,'task 6 Engagement Summary'!$A$2:$A$201,'Task 6.1'!$A27)</f>
        <v>4108</v>
      </c>
      <c r="C27">
        <f>SUMIFS('task 6 Engagement Summary'!$D$2:$D$201,'task 6 Engagement Summary'!$A$2:$A$201,'Task 6.1'!$A27)</f>
        <v>532</v>
      </c>
      <c r="D27">
        <f t="shared" si="0"/>
        <v>3576</v>
      </c>
      <c r="G27" s="88" t="s">
        <v>395</v>
      </c>
      <c r="H27" s="88"/>
      <c r="I27" s="88"/>
      <c r="J27" s="88"/>
      <c r="K27" s="88"/>
      <c r="L27" s="88"/>
      <c r="M27" s="88"/>
    </row>
    <row r="28" spans="1:19" x14ac:dyDescent="0.3">
      <c r="A28" s="77">
        <v>45607</v>
      </c>
      <c r="B28">
        <f>SUMIFS('task 6 Engagement Summary'!$C$2:$C$201,'task 6 Engagement Summary'!$A$2:$A$201,'Task 6.1'!$A28)</f>
        <v>3194</v>
      </c>
      <c r="C28">
        <f>SUMIFS('task 6 Engagement Summary'!$D$2:$D$201,'task 6 Engagement Summary'!$A$2:$A$201,'Task 6.1'!$A28)</f>
        <v>400</v>
      </c>
      <c r="D28">
        <f t="shared" si="0"/>
        <v>2794</v>
      </c>
      <c r="G28" s="88"/>
      <c r="H28" s="88"/>
      <c r="I28" s="88"/>
      <c r="J28" s="88"/>
      <c r="K28" s="88"/>
      <c r="L28" s="88"/>
      <c r="M28" s="88"/>
    </row>
    <row r="29" spans="1:19" x14ac:dyDescent="0.3">
      <c r="A29" s="77">
        <v>45614</v>
      </c>
      <c r="B29">
        <f>SUMIFS('task 6 Engagement Summary'!$C$2:$C$201,'task 6 Engagement Summary'!$A$2:$A$201,'Task 6.1'!$A29)</f>
        <v>2530</v>
      </c>
      <c r="C29">
        <f>SUMIFS('task 6 Engagement Summary'!$D$2:$D$201,'task 6 Engagement Summary'!$A$2:$A$201,'Task 6.1'!$A29)</f>
        <v>595</v>
      </c>
      <c r="D29">
        <f t="shared" si="0"/>
        <v>1935</v>
      </c>
      <c r="G29" s="88"/>
      <c r="H29" s="88"/>
      <c r="I29" s="88"/>
      <c r="J29" s="88"/>
      <c r="K29" s="88"/>
      <c r="L29" s="88"/>
      <c r="M29" s="88"/>
    </row>
    <row r="30" spans="1:19" x14ac:dyDescent="0.3">
      <c r="A30" s="77">
        <v>45621</v>
      </c>
      <c r="B30">
        <f>SUMIFS('task 6 Engagement Summary'!$C$2:$C$201,'task 6 Engagement Summary'!$A$2:$A$201,'Task 6.1'!$A30)</f>
        <v>2930</v>
      </c>
      <c r="C30">
        <f>SUMIFS('task 6 Engagement Summary'!$D$2:$D$201,'task 6 Engagement Summary'!$A$2:$A$201,'Task 6.1'!$A30)</f>
        <v>643</v>
      </c>
      <c r="D30">
        <f t="shared" si="0"/>
        <v>2287</v>
      </c>
      <c r="G30" s="88"/>
      <c r="H30" s="88"/>
      <c r="I30" s="88"/>
      <c r="J30" s="88"/>
      <c r="K30" s="88"/>
      <c r="L30" s="88"/>
      <c r="M30" s="88"/>
    </row>
    <row r="31" spans="1:19" x14ac:dyDescent="0.3">
      <c r="A31" s="77">
        <v>45628</v>
      </c>
      <c r="B31">
        <f>SUMIFS('task 6 Engagement Summary'!$C$2:$C$201,'task 6 Engagement Summary'!$A$2:$A$201,'Task 6.1'!$A31)</f>
        <v>2912</v>
      </c>
      <c r="C31">
        <f>SUMIFS('task 6 Engagement Summary'!$D$2:$D$201,'task 6 Engagement Summary'!$A$2:$A$201,'Task 6.1'!$A31)</f>
        <v>529</v>
      </c>
      <c r="D31">
        <f t="shared" si="0"/>
        <v>2383</v>
      </c>
      <c r="G31" s="88"/>
      <c r="H31" s="88"/>
      <c r="I31" s="88"/>
      <c r="J31" s="88"/>
      <c r="K31" s="88"/>
      <c r="L31" s="88"/>
      <c r="M31" s="88"/>
    </row>
    <row r="32" spans="1:19" x14ac:dyDescent="0.3">
      <c r="A32" s="77">
        <v>45635</v>
      </c>
      <c r="B32">
        <f>SUMIFS('task 6 Engagement Summary'!$C$2:$C$201,'task 6 Engagement Summary'!$A$2:$A$201,'Task 6.1'!$A32)</f>
        <v>2104</v>
      </c>
      <c r="C32">
        <f>SUMIFS('task 6 Engagement Summary'!$D$2:$D$201,'task 6 Engagement Summary'!$A$2:$A$201,'Task 6.1'!$A32)</f>
        <v>706</v>
      </c>
      <c r="D32">
        <f t="shared" si="0"/>
        <v>1398</v>
      </c>
      <c r="G32" s="88"/>
      <c r="H32" s="88"/>
      <c r="I32" s="88"/>
      <c r="J32" s="88"/>
      <c r="K32" s="88"/>
      <c r="L32" s="88"/>
      <c r="M32" s="88"/>
    </row>
    <row r="33" spans="1:4" x14ac:dyDescent="0.3">
      <c r="A33" s="77">
        <v>45642</v>
      </c>
      <c r="B33">
        <f>SUMIFS('task 6 Engagement Summary'!$C$2:$C$201,'task 6 Engagement Summary'!$A$2:$A$201,'Task 6.1'!$A33)</f>
        <v>3164</v>
      </c>
      <c r="C33">
        <f>SUMIFS('task 6 Engagement Summary'!$D$2:$D$201,'task 6 Engagement Summary'!$A$2:$A$201,'Task 6.1'!$A33)</f>
        <v>471</v>
      </c>
      <c r="D33">
        <f t="shared" si="0"/>
        <v>2693</v>
      </c>
    </row>
    <row r="34" spans="1:4" x14ac:dyDescent="0.3">
      <c r="A34" s="77">
        <v>45649</v>
      </c>
      <c r="B34">
        <f>SUMIFS('task 6 Engagement Summary'!$C$2:$C$201,'task 6 Engagement Summary'!$A$2:$A$201,'Task 6.1'!$A34)</f>
        <v>2956</v>
      </c>
      <c r="C34">
        <f>SUMIFS('task 6 Engagement Summary'!$D$2:$D$201,'task 6 Engagement Summary'!$A$2:$A$201,'Task 6.1'!$A34)</f>
        <v>406</v>
      </c>
      <c r="D34">
        <f t="shared" si="0"/>
        <v>2550</v>
      </c>
    </row>
    <row r="35" spans="1:4" x14ac:dyDescent="0.3">
      <c r="A35" s="77">
        <v>45656</v>
      </c>
      <c r="B35">
        <f>SUMIFS('task 6 Engagement Summary'!$C$2:$C$201,'task 6 Engagement Summary'!$A$2:$A$201,'Task 6.1'!$A35)</f>
        <v>2755</v>
      </c>
      <c r="C35">
        <f>SUMIFS('task 6 Engagement Summary'!$D$2:$D$201,'task 6 Engagement Summary'!$A$2:$A$201,'Task 6.1'!$A35)</f>
        <v>418</v>
      </c>
      <c r="D35">
        <f t="shared" si="0"/>
        <v>2337</v>
      </c>
    </row>
    <row r="36" spans="1:4" x14ac:dyDescent="0.3">
      <c r="A36" s="77">
        <v>45663</v>
      </c>
      <c r="B36">
        <f>SUMIFS('task 6 Engagement Summary'!$C$2:$C$201,'task 6 Engagement Summary'!$A$2:$A$201,'Task 6.1'!$A36)</f>
        <v>2906</v>
      </c>
      <c r="C36">
        <f>SUMIFS('task 6 Engagement Summary'!$D$2:$D$201,'task 6 Engagement Summary'!$A$2:$A$201,'Task 6.1'!$A36)</f>
        <v>455</v>
      </c>
      <c r="D36">
        <f t="shared" si="0"/>
        <v>2451</v>
      </c>
    </row>
    <row r="37" spans="1:4" x14ac:dyDescent="0.3">
      <c r="A37" s="77">
        <v>45670</v>
      </c>
      <c r="B37">
        <f>SUMIFS('task 6 Engagement Summary'!$C$2:$C$201,'task 6 Engagement Summary'!$A$2:$A$201,'Task 6.1'!$A37)</f>
        <v>2631</v>
      </c>
      <c r="C37">
        <f>SUMIFS('task 6 Engagement Summary'!$D$2:$D$201,'task 6 Engagement Summary'!$A$2:$A$201,'Task 6.1'!$A37)</f>
        <v>290</v>
      </c>
      <c r="D37">
        <f t="shared" si="0"/>
        <v>2341</v>
      </c>
    </row>
    <row r="38" spans="1:4" x14ac:dyDescent="0.3">
      <c r="A38" s="77">
        <v>45677</v>
      </c>
      <c r="B38">
        <f>SUMIFS('task 6 Engagement Summary'!$C$2:$C$201,'task 6 Engagement Summary'!$A$2:$A$201,'Task 6.1'!$A38)</f>
        <v>2547</v>
      </c>
      <c r="C38">
        <f>SUMIFS('task 6 Engagement Summary'!$D$2:$D$201,'task 6 Engagement Summary'!$A$2:$A$201,'Task 6.1'!$A38)</f>
        <v>715</v>
      </c>
      <c r="D38">
        <f t="shared" si="0"/>
        <v>1832</v>
      </c>
    </row>
    <row r="39" spans="1:4" x14ac:dyDescent="0.3">
      <c r="A39" s="77">
        <v>45684</v>
      </c>
      <c r="B39">
        <f>SUMIFS('task 6 Engagement Summary'!$C$2:$C$201,'task 6 Engagement Summary'!$A$2:$A$201,'Task 6.1'!$A39)</f>
        <v>2534</v>
      </c>
      <c r="C39">
        <f>SUMIFS('task 6 Engagement Summary'!$D$2:$D$201,'task 6 Engagement Summary'!$A$2:$A$201,'Task 6.1'!$A39)</f>
        <v>606</v>
      </c>
      <c r="D39">
        <f t="shared" si="0"/>
        <v>1928</v>
      </c>
    </row>
    <row r="40" spans="1:4" x14ac:dyDescent="0.3">
      <c r="A40" s="77">
        <v>45691</v>
      </c>
      <c r="B40">
        <f>SUMIFS('task 6 Engagement Summary'!$C$2:$C$201,'task 6 Engagement Summary'!$A$2:$A$201,'Task 6.1'!$A40)</f>
        <v>2010</v>
      </c>
      <c r="C40">
        <f>SUMIFS('task 6 Engagement Summary'!$D$2:$D$201,'task 6 Engagement Summary'!$A$2:$A$201,'Task 6.1'!$A40)</f>
        <v>330</v>
      </c>
      <c r="D40">
        <f t="shared" si="0"/>
        <v>1680</v>
      </c>
    </row>
    <row r="41" spans="1:4" x14ac:dyDescent="0.3">
      <c r="A41" s="77">
        <v>45698</v>
      </c>
      <c r="B41">
        <f>SUMIFS('task 6 Engagement Summary'!$C$2:$C$201,'task 6 Engagement Summary'!$A$2:$A$201,'Task 6.1'!$A41)</f>
        <v>2872</v>
      </c>
      <c r="C41">
        <f>SUMIFS('task 6 Engagement Summary'!$D$2:$D$201,'task 6 Engagement Summary'!$A$2:$A$201,'Task 6.1'!$A41)</f>
        <v>511</v>
      </c>
      <c r="D41">
        <f t="shared" si="0"/>
        <v>2361</v>
      </c>
    </row>
    <row r="42" spans="1:4" x14ac:dyDescent="0.3">
      <c r="A42" s="77">
        <v>45705</v>
      </c>
      <c r="B42">
        <f>SUMIFS('task 6 Engagement Summary'!$C$2:$C$201,'task 6 Engagement Summary'!$A$2:$A$201,'Task 6.1'!$A42)</f>
        <v>2146</v>
      </c>
      <c r="C42">
        <f>SUMIFS('task 6 Engagement Summary'!$D$2:$D$201,'task 6 Engagement Summary'!$A$2:$A$201,'Task 6.1'!$A42)</f>
        <v>603</v>
      </c>
      <c r="D42">
        <f t="shared" si="0"/>
        <v>1543</v>
      </c>
    </row>
    <row r="43" spans="1:4" x14ac:dyDescent="0.3">
      <c r="A43" s="77">
        <v>45712</v>
      </c>
      <c r="B43">
        <f>SUMIFS('task 6 Engagement Summary'!$C$2:$C$201,'task 6 Engagement Summary'!$A$2:$A$201,'Task 6.1'!$A43)</f>
        <v>2509</v>
      </c>
      <c r="C43">
        <f>SUMIFS('task 6 Engagement Summary'!$D$2:$D$201,'task 6 Engagement Summary'!$A$2:$A$201,'Task 6.1'!$A43)</f>
        <v>796</v>
      </c>
      <c r="D43">
        <f t="shared" si="0"/>
        <v>1713</v>
      </c>
    </row>
    <row r="44" spans="1:4" x14ac:dyDescent="0.3">
      <c r="A44" s="77">
        <v>45719</v>
      </c>
      <c r="B44">
        <f>SUMIFS('task 6 Engagement Summary'!$C$2:$C$201,'task 6 Engagement Summary'!$A$2:$A$201,'Task 6.1'!$A44)</f>
        <v>3343</v>
      </c>
      <c r="C44">
        <f>SUMIFS('task 6 Engagement Summary'!$D$2:$D$201,'task 6 Engagement Summary'!$A$2:$A$201,'Task 6.1'!$A44)</f>
        <v>580</v>
      </c>
      <c r="D44">
        <f t="shared" si="0"/>
        <v>2763</v>
      </c>
    </row>
    <row r="45" spans="1:4" x14ac:dyDescent="0.3">
      <c r="A45" s="77">
        <v>45726</v>
      </c>
      <c r="B45">
        <f>SUMIFS('task 6 Engagement Summary'!$C$2:$C$201,'task 6 Engagement Summary'!$A$2:$A$201,'Task 6.1'!$A45)</f>
        <v>2740</v>
      </c>
      <c r="C45">
        <f>SUMIFS('task 6 Engagement Summary'!$D$2:$D$201,'task 6 Engagement Summary'!$A$2:$A$201,'Task 6.1'!$A45)</f>
        <v>425</v>
      </c>
      <c r="D45">
        <f t="shared" si="0"/>
        <v>2315</v>
      </c>
    </row>
    <row r="46" spans="1:4" x14ac:dyDescent="0.3">
      <c r="A46" s="77">
        <v>45733</v>
      </c>
      <c r="B46">
        <f>SUMIFS('task 6 Engagement Summary'!$C$2:$C$201,'task 6 Engagement Summary'!$A$2:$A$201,'Task 6.1'!$A46)</f>
        <v>2543</v>
      </c>
      <c r="C46">
        <f>SUMIFS('task 6 Engagement Summary'!$D$2:$D$201,'task 6 Engagement Summary'!$A$2:$A$201,'Task 6.1'!$A46)</f>
        <v>355</v>
      </c>
      <c r="D46">
        <f t="shared" si="0"/>
        <v>2188</v>
      </c>
    </row>
    <row r="47" spans="1:4" x14ac:dyDescent="0.3">
      <c r="A47" s="77">
        <v>45740</v>
      </c>
      <c r="B47">
        <f>SUMIFS('task 6 Engagement Summary'!$C$2:$C$201,'task 6 Engagement Summary'!$A$2:$A$201,'Task 6.1'!$A47)</f>
        <v>3191</v>
      </c>
      <c r="C47">
        <f>SUMIFS('task 6 Engagement Summary'!$D$2:$D$201,'task 6 Engagement Summary'!$A$2:$A$201,'Task 6.1'!$A47)</f>
        <v>512</v>
      </c>
      <c r="D47">
        <f t="shared" si="0"/>
        <v>2679</v>
      </c>
    </row>
    <row r="48" spans="1:4" x14ac:dyDescent="0.3">
      <c r="A48" s="77">
        <v>45747</v>
      </c>
      <c r="B48">
        <f>SUMIFS('task 6 Engagement Summary'!$C$2:$C$201,'task 6 Engagement Summary'!$A$2:$A$201,'Task 6.1'!$A48)</f>
        <v>3248</v>
      </c>
      <c r="C48">
        <f>SUMIFS('task 6 Engagement Summary'!$D$2:$D$201,'task 6 Engagement Summary'!$A$2:$A$201,'Task 6.1'!$A48)</f>
        <v>467</v>
      </c>
      <c r="D48">
        <f t="shared" si="0"/>
        <v>2781</v>
      </c>
    </row>
    <row r="49" spans="1:4" x14ac:dyDescent="0.3">
      <c r="A49" s="77">
        <v>45754</v>
      </c>
      <c r="B49">
        <f>SUMIFS('task 6 Engagement Summary'!$C$2:$C$201,'task 6 Engagement Summary'!$A$2:$A$201,'Task 6.1'!$A49)</f>
        <v>3710</v>
      </c>
      <c r="C49">
        <f>SUMIFS('task 6 Engagement Summary'!$D$2:$D$201,'task 6 Engagement Summary'!$A$2:$A$201,'Task 6.1'!$A49)</f>
        <v>419</v>
      </c>
      <c r="D49">
        <f t="shared" si="0"/>
        <v>3291</v>
      </c>
    </row>
    <row r="50" spans="1:4" x14ac:dyDescent="0.3">
      <c r="A50" s="77">
        <v>45761</v>
      </c>
      <c r="B50">
        <f>SUMIFS('task 6 Engagement Summary'!$C$2:$C$201,'task 6 Engagement Summary'!$A$2:$A$201,'Task 6.1'!$A50)</f>
        <v>3716</v>
      </c>
      <c r="C50">
        <f>SUMIFS('task 6 Engagement Summary'!$D$2:$D$201,'task 6 Engagement Summary'!$A$2:$A$201,'Task 6.1'!$A50)</f>
        <v>500</v>
      </c>
      <c r="D50">
        <f t="shared" si="0"/>
        <v>3216</v>
      </c>
    </row>
    <row r="51" spans="1:4" x14ac:dyDescent="0.3">
      <c r="A51" s="77">
        <v>45768</v>
      </c>
      <c r="B51">
        <f>SUMIFS('task 6 Engagement Summary'!$C$2:$C$201,'task 6 Engagement Summary'!$A$2:$A$201,'Task 6.1'!$A51)</f>
        <v>2445</v>
      </c>
      <c r="C51">
        <f>SUMIFS('task 6 Engagement Summary'!$D$2:$D$201,'task 6 Engagement Summary'!$A$2:$A$201,'Task 6.1'!$A51)</f>
        <v>717</v>
      </c>
      <c r="D51">
        <f t="shared" si="0"/>
        <v>1728</v>
      </c>
    </row>
    <row r="52" spans="1:4" x14ac:dyDescent="0.3">
      <c r="A52" s="77">
        <v>45775</v>
      </c>
      <c r="B52">
        <f>SUMIFS('task 6 Engagement Summary'!$C$2:$C$201,'task 6 Engagement Summary'!$A$2:$A$201,'Task 6.1'!$A52)</f>
        <v>2715</v>
      </c>
      <c r="C52">
        <f>SUMIFS('task 6 Engagement Summary'!$D$2:$D$201,'task 6 Engagement Summary'!$A$2:$A$201,'Task 6.1'!$A52)</f>
        <v>337</v>
      </c>
      <c r="D52">
        <f t="shared" si="0"/>
        <v>2378</v>
      </c>
    </row>
    <row r="53" spans="1:4" x14ac:dyDescent="0.3">
      <c r="A53" s="77">
        <v>45782</v>
      </c>
      <c r="B53">
        <f>SUMIFS('task 6 Engagement Summary'!$C$2:$C$201,'task 6 Engagement Summary'!$A$2:$A$201,'Task 6.1'!$A53)</f>
        <v>2651</v>
      </c>
      <c r="C53">
        <f>SUMIFS('task 6 Engagement Summary'!$D$2:$D$201,'task 6 Engagement Summary'!$A$2:$A$201,'Task 6.1'!$A53)</f>
        <v>597</v>
      </c>
      <c r="D53">
        <f t="shared" si="0"/>
        <v>2054</v>
      </c>
    </row>
    <row r="54" spans="1:4" x14ac:dyDescent="0.3">
      <c r="A54" s="77">
        <v>45789</v>
      </c>
      <c r="B54">
        <f>SUMIFS('task 6 Engagement Summary'!$C$2:$C$201,'task 6 Engagement Summary'!$A$2:$A$201,'Task 6.1'!$A54)</f>
        <v>2005</v>
      </c>
      <c r="C54">
        <f>SUMIFS('task 6 Engagement Summary'!$D$2:$D$201,'task 6 Engagement Summary'!$A$2:$A$201,'Task 6.1'!$A54)</f>
        <v>605</v>
      </c>
      <c r="D54">
        <f t="shared" si="0"/>
        <v>1400</v>
      </c>
    </row>
    <row r="55" spans="1:4" x14ac:dyDescent="0.3">
      <c r="A55" s="77">
        <v>45796</v>
      </c>
      <c r="B55">
        <f>SUMIFS('task 6 Engagement Summary'!$C$2:$C$201,'task 6 Engagement Summary'!$A$2:$A$201,'Task 6.1'!$A55)</f>
        <v>3861</v>
      </c>
      <c r="C55">
        <f>SUMIFS('task 6 Engagement Summary'!$D$2:$D$201,'task 6 Engagement Summary'!$A$2:$A$201,'Task 6.1'!$A55)</f>
        <v>292</v>
      </c>
      <c r="D55">
        <f t="shared" si="0"/>
        <v>3569</v>
      </c>
    </row>
    <row r="56" spans="1:4" x14ac:dyDescent="0.3">
      <c r="A56" s="77">
        <v>45803</v>
      </c>
      <c r="B56">
        <f>SUMIFS('task 6 Engagement Summary'!$C$2:$C$201,'task 6 Engagement Summary'!$A$2:$A$201,'Task 6.1'!$A56)</f>
        <v>3457</v>
      </c>
      <c r="C56">
        <f>SUMIFS('task 6 Engagement Summary'!$D$2:$D$201,'task 6 Engagement Summary'!$A$2:$A$201,'Task 6.1'!$A56)</f>
        <v>548</v>
      </c>
      <c r="D56">
        <f t="shared" si="0"/>
        <v>2909</v>
      </c>
    </row>
    <row r="57" spans="1:4" x14ac:dyDescent="0.3">
      <c r="A57" s="77">
        <v>45810</v>
      </c>
      <c r="B57">
        <f>SUMIFS('task 6 Engagement Summary'!$C$2:$C$201,'task 6 Engagement Summary'!$A$2:$A$201,'Task 6.1'!$A57)</f>
        <v>2674</v>
      </c>
      <c r="C57">
        <f>SUMIFS('task 6 Engagement Summary'!$D$2:$D$201,'task 6 Engagement Summary'!$A$2:$A$201,'Task 6.1'!$A57)</f>
        <v>625</v>
      </c>
      <c r="D57">
        <f t="shared" si="0"/>
        <v>2049</v>
      </c>
    </row>
    <row r="58" spans="1:4" x14ac:dyDescent="0.3">
      <c r="A58" s="77">
        <v>45817</v>
      </c>
      <c r="B58">
        <f>SUMIFS('task 6 Engagement Summary'!$C$2:$C$201,'task 6 Engagement Summary'!$A$2:$A$201,'Task 6.1'!$A58)</f>
        <v>2910</v>
      </c>
      <c r="C58">
        <f>SUMIFS('task 6 Engagement Summary'!$D$2:$D$201,'task 6 Engagement Summary'!$A$2:$A$201,'Task 6.1'!$A58)</f>
        <v>667</v>
      </c>
      <c r="D58">
        <f t="shared" si="0"/>
        <v>2243</v>
      </c>
    </row>
    <row r="59" spans="1:4" x14ac:dyDescent="0.3">
      <c r="A59" s="77">
        <v>45824</v>
      </c>
      <c r="B59">
        <f>SUMIFS('task 6 Engagement Summary'!$C$2:$C$201,'task 6 Engagement Summary'!$A$2:$A$201,'Task 6.1'!$A59)</f>
        <v>2450</v>
      </c>
      <c r="C59">
        <f>SUMIFS('task 6 Engagement Summary'!$D$2:$D$201,'task 6 Engagement Summary'!$A$2:$A$201,'Task 6.1'!$A59)</f>
        <v>433</v>
      </c>
      <c r="D59">
        <f t="shared" si="0"/>
        <v>2017</v>
      </c>
    </row>
    <row r="60" spans="1:4" x14ac:dyDescent="0.3">
      <c r="A60" s="77">
        <v>45831</v>
      </c>
      <c r="B60">
        <f>SUMIFS('task 6 Engagement Summary'!$C$2:$C$201,'task 6 Engagement Summary'!$A$2:$A$201,'Task 6.1'!$A60)</f>
        <v>1993</v>
      </c>
      <c r="C60">
        <f>SUMIFS('task 6 Engagement Summary'!$D$2:$D$201,'task 6 Engagement Summary'!$A$2:$A$201,'Task 6.1'!$A60)</f>
        <v>609</v>
      </c>
      <c r="D60">
        <f t="shared" si="0"/>
        <v>1384</v>
      </c>
    </row>
    <row r="61" spans="1:4" x14ac:dyDescent="0.3">
      <c r="A61" s="77">
        <v>45838</v>
      </c>
      <c r="B61">
        <f>SUMIFS('task 6 Engagement Summary'!$C$2:$C$201,'task 6 Engagement Summary'!$A$2:$A$201,'Task 6.1'!$A61)</f>
        <v>2635</v>
      </c>
      <c r="C61">
        <f>SUMIFS('task 6 Engagement Summary'!$D$2:$D$201,'task 6 Engagement Summary'!$A$2:$A$201,'Task 6.1'!$A61)</f>
        <v>320</v>
      </c>
      <c r="D61">
        <f t="shared" si="0"/>
        <v>2315</v>
      </c>
    </row>
    <row r="62" spans="1:4" x14ac:dyDescent="0.3">
      <c r="A62" s="77">
        <v>45845</v>
      </c>
      <c r="B62">
        <f>SUMIFS('task 6 Engagement Summary'!$C$2:$C$201,'task 6 Engagement Summary'!$A$2:$A$201,'Task 6.1'!$A62)</f>
        <v>3180</v>
      </c>
      <c r="C62">
        <f>SUMIFS('task 6 Engagement Summary'!$D$2:$D$201,'task 6 Engagement Summary'!$A$2:$A$201,'Task 6.1'!$A62)</f>
        <v>511</v>
      </c>
      <c r="D62">
        <f t="shared" si="0"/>
        <v>2669</v>
      </c>
    </row>
    <row r="63" spans="1:4" x14ac:dyDescent="0.3">
      <c r="A63" s="77">
        <v>45852</v>
      </c>
      <c r="B63">
        <f>SUMIFS('task 6 Engagement Summary'!$C$2:$C$201,'task 6 Engagement Summary'!$A$2:$A$201,'Task 6.1'!$A63)</f>
        <v>3238</v>
      </c>
      <c r="C63">
        <f>SUMIFS('task 6 Engagement Summary'!$D$2:$D$201,'task 6 Engagement Summary'!$A$2:$A$201,'Task 6.1'!$A63)</f>
        <v>584</v>
      </c>
      <c r="D63">
        <f t="shared" si="0"/>
        <v>2654</v>
      </c>
    </row>
    <row r="64" spans="1:4" x14ac:dyDescent="0.3">
      <c r="A64" s="77">
        <v>45859</v>
      </c>
      <c r="B64">
        <f>SUMIFS('task 6 Engagement Summary'!$C$2:$C$201,'task 6 Engagement Summary'!$A$2:$A$201,'Task 6.1'!$A64)</f>
        <v>3197</v>
      </c>
      <c r="C64">
        <f>SUMIFS('task 6 Engagement Summary'!$D$2:$D$201,'task 6 Engagement Summary'!$A$2:$A$201,'Task 6.1'!$A64)</f>
        <v>503</v>
      </c>
      <c r="D64">
        <f t="shared" si="0"/>
        <v>2694</v>
      </c>
    </row>
    <row r="65" spans="1:4" x14ac:dyDescent="0.3">
      <c r="A65" s="77">
        <v>45866</v>
      </c>
      <c r="B65">
        <f>SUMIFS('task 6 Engagement Summary'!$C$2:$C$201,'task 6 Engagement Summary'!$A$2:$A$201,'Task 6.1'!$A65)</f>
        <v>3695</v>
      </c>
      <c r="C65">
        <f>SUMIFS('task 6 Engagement Summary'!$D$2:$D$201,'task 6 Engagement Summary'!$A$2:$A$201,'Task 6.1'!$A65)</f>
        <v>459</v>
      </c>
      <c r="D65">
        <f t="shared" si="0"/>
        <v>3236</v>
      </c>
    </row>
    <row r="66" spans="1:4" x14ac:dyDescent="0.3">
      <c r="A66" s="77">
        <v>45873</v>
      </c>
      <c r="B66">
        <f>SUMIFS('task 6 Engagement Summary'!$C$2:$C$201,'task 6 Engagement Summary'!$A$2:$A$201,'Task 6.1'!$A66)</f>
        <v>2205</v>
      </c>
      <c r="C66">
        <f>SUMIFS('task 6 Engagement Summary'!$D$2:$D$201,'task 6 Engagement Summary'!$A$2:$A$201,'Task 6.1'!$A66)</f>
        <v>516</v>
      </c>
      <c r="D66">
        <f t="shared" si="0"/>
        <v>1689</v>
      </c>
    </row>
    <row r="67" spans="1:4" x14ac:dyDescent="0.3">
      <c r="A67" s="77">
        <v>45880</v>
      </c>
      <c r="B67">
        <f>SUMIFS('task 6 Engagement Summary'!$C$2:$C$201,'task 6 Engagement Summary'!$A$2:$A$201,'Task 6.1'!$A67)</f>
        <v>3025</v>
      </c>
      <c r="C67">
        <f>SUMIFS('task 6 Engagement Summary'!$D$2:$D$201,'task 6 Engagement Summary'!$A$2:$A$201,'Task 6.1'!$A67)</f>
        <v>678</v>
      </c>
      <c r="D67">
        <f t="shared" si="0"/>
        <v>2347</v>
      </c>
    </row>
    <row r="68" spans="1:4" x14ac:dyDescent="0.3">
      <c r="A68" s="77">
        <v>45887</v>
      </c>
      <c r="B68">
        <f>SUMIFS('task 6 Engagement Summary'!$C$2:$C$201,'task 6 Engagement Summary'!$A$2:$A$201,'Task 6.1'!$A68)</f>
        <v>2222</v>
      </c>
      <c r="C68">
        <f>SUMIFS('task 6 Engagement Summary'!$D$2:$D$201,'task 6 Engagement Summary'!$A$2:$A$201,'Task 6.1'!$A68)</f>
        <v>403</v>
      </c>
      <c r="D68">
        <f t="shared" si="0"/>
        <v>1819</v>
      </c>
    </row>
    <row r="69" spans="1:4" x14ac:dyDescent="0.3">
      <c r="A69" s="77">
        <v>45894</v>
      </c>
      <c r="B69">
        <f>SUMIFS('task 6 Engagement Summary'!$C$2:$C$201,'task 6 Engagement Summary'!$A$2:$A$201,'Task 6.1'!$A69)</f>
        <v>3387</v>
      </c>
      <c r="C69">
        <f>SUMIFS('task 6 Engagement Summary'!$D$2:$D$201,'task 6 Engagement Summary'!$A$2:$A$201,'Task 6.1'!$A69)</f>
        <v>741</v>
      </c>
      <c r="D69">
        <f t="shared" si="0"/>
        <v>2646</v>
      </c>
    </row>
    <row r="70" spans="1:4" x14ac:dyDescent="0.3">
      <c r="A70" s="77">
        <v>45901</v>
      </c>
      <c r="B70">
        <f>SUMIFS('task 6 Engagement Summary'!$C$2:$C$201,'task 6 Engagement Summary'!$A$2:$A$201,'Task 6.1'!$A70)</f>
        <v>2127</v>
      </c>
      <c r="C70">
        <f>SUMIFS('task 6 Engagement Summary'!$D$2:$D$201,'task 6 Engagement Summary'!$A$2:$A$201,'Task 6.1'!$A70)</f>
        <v>703</v>
      </c>
      <c r="D70">
        <f t="shared" ref="D70:D71" si="1">B70-C70</f>
        <v>1424</v>
      </c>
    </row>
    <row r="71" spans="1:4" x14ac:dyDescent="0.3">
      <c r="A71" s="77">
        <v>45908</v>
      </c>
      <c r="B71">
        <f>SUMIFS('task 6 Engagement Summary'!$C$2:$C$201,'task 6 Engagement Summary'!$A$2:$A$201,'Task 6.1'!$A71)</f>
        <v>1877</v>
      </c>
      <c r="C71">
        <f>SUMIFS('task 6 Engagement Summary'!$D$2:$D$201,'task 6 Engagement Summary'!$A$2:$A$201,'Task 6.1'!$A71)</f>
        <v>441</v>
      </c>
      <c r="D71">
        <f t="shared" si="1"/>
        <v>1436</v>
      </c>
    </row>
  </sheetData>
  <mergeCells count="11">
    <mergeCell ref="G27:M32"/>
    <mergeCell ref="G19:M20"/>
    <mergeCell ref="G21:M22"/>
    <mergeCell ref="G23:M25"/>
    <mergeCell ref="A1:T3"/>
    <mergeCell ref="G9:M9"/>
    <mergeCell ref="G10:M11"/>
    <mergeCell ref="F5:F7"/>
    <mergeCell ref="G5:G7"/>
    <mergeCell ref="G12:M14"/>
    <mergeCell ref="G15:M18"/>
  </mergeCells>
  <conditionalFormatting sqref="D1:D1048576">
    <cfRule type="top10" dxfId="0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26B2-1A6F-459D-8D67-E2555CDF9C49}">
  <sheetPr>
    <tabColor rgb="FF92D050"/>
  </sheetPr>
  <dimension ref="A1:W73"/>
  <sheetViews>
    <sheetView topLeftCell="A5" workbookViewId="0">
      <selection activeCell="O6" sqref="O6"/>
    </sheetView>
  </sheetViews>
  <sheetFormatPr defaultRowHeight="14.4" x14ac:dyDescent="0.3"/>
  <cols>
    <col min="1" max="1" width="12.5546875" bestFit="1" customWidth="1"/>
    <col min="2" max="4" width="18.21875" bestFit="1" customWidth="1"/>
  </cols>
  <sheetData>
    <row r="1" spans="1:23" x14ac:dyDescent="0.3">
      <c r="A1" s="99" t="s">
        <v>387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</row>
    <row r="2" spans="1:23" x14ac:dyDescent="0.3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</row>
    <row r="3" spans="1:23" x14ac:dyDescent="0.3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</row>
    <row r="5" spans="1:23" x14ac:dyDescent="0.3">
      <c r="A5" s="80" t="s">
        <v>369</v>
      </c>
      <c r="B5" t="s">
        <v>388</v>
      </c>
    </row>
    <row r="6" spans="1:23" x14ac:dyDescent="0.3">
      <c r="A6" s="81">
        <v>45446</v>
      </c>
      <c r="B6" s="2">
        <v>3419</v>
      </c>
    </row>
    <row r="7" spans="1:23" x14ac:dyDescent="0.3">
      <c r="A7" s="81">
        <v>45453</v>
      </c>
      <c r="B7" s="2">
        <v>2777</v>
      </c>
    </row>
    <row r="8" spans="1:23" x14ac:dyDescent="0.3">
      <c r="A8" s="81">
        <v>45460</v>
      </c>
      <c r="B8" s="2">
        <v>3175</v>
      </c>
    </row>
    <row r="9" spans="1:23" x14ac:dyDescent="0.3">
      <c r="A9" s="81">
        <v>45467</v>
      </c>
      <c r="B9" s="2">
        <v>2433</v>
      </c>
      <c r="O9" s="100" t="s">
        <v>389</v>
      </c>
      <c r="P9" s="101"/>
      <c r="Q9" s="101"/>
      <c r="R9" s="101"/>
      <c r="S9" s="101"/>
    </row>
    <row r="10" spans="1:23" x14ac:dyDescent="0.3">
      <c r="A10" s="81">
        <v>45474</v>
      </c>
      <c r="B10" s="2">
        <v>2426</v>
      </c>
      <c r="O10" s="101"/>
      <c r="P10" s="101"/>
      <c r="Q10" s="101"/>
      <c r="R10" s="101"/>
      <c r="S10" s="101"/>
    </row>
    <row r="11" spans="1:23" x14ac:dyDescent="0.3">
      <c r="A11" s="81">
        <v>45481</v>
      </c>
      <c r="B11" s="2">
        <v>3155</v>
      </c>
      <c r="O11" s="101"/>
      <c r="P11" s="101"/>
      <c r="Q11" s="101"/>
      <c r="R11" s="101"/>
      <c r="S11" s="101"/>
    </row>
    <row r="12" spans="1:23" x14ac:dyDescent="0.3">
      <c r="A12" s="81">
        <v>45488</v>
      </c>
      <c r="B12" s="2">
        <v>2369</v>
      </c>
      <c r="O12" s="101"/>
      <c r="P12" s="101"/>
      <c r="Q12" s="101"/>
      <c r="R12" s="101"/>
      <c r="S12" s="101"/>
    </row>
    <row r="13" spans="1:23" x14ac:dyDescent="0.3">
      <c r="A13" s="81">
        <v>45495</v>
      </c>
      <c r="B13" s="2">
        <v>2281</v>
      </c>
      <c r="O13" s="101"/>
      <c r="P13" s="101"/>
      <c r="Q13" s="101"/>
      <c r="R13" s="101"/>
      <c r="S13" s="101"/>
    </row>
    <row r="14" spans="1:23" x14ac:dyDescent="0.3">
      <c r="A14" s="81">
        <v>45502</v>
      </c>
      <c r="B14" s="2">
        <v>2132</v>
      </c>
      <c r="O14" s="101"/>
      <c r="P14" s="101"/>
      <c r="Q14" s="101"/>
      <c r="R14" s="101"/>
      <c r="S14" s="101"/>
    </row>
    <row r="15" spans="1:23" x14ac:dyDescent="0.3">
      <c r="A15" s="81">
        <v>45509</v>
      </c>
      <c r="B15" s="2">
        <v>2693</v>
      </c>
      <c r="O15" s="101"/>
      <c r="P15" s="101"/>
      <c r="Q15" s="101"/>
      <c r="R15" s="101"/>
      <c r="S15" s="101"/>
    </row>
    <row r="16" spans="1:23" x14ac:dyDescent="0.3">
      <c r="A16" s="81">
        <v>45516</v>
      </c>
      <c r="B16" s="2">
        <v>3072</v>
      </c>
      <c r="O16" s="101"/>
      <c r="P16" s="101"/>
      <c r="Q16" s="101"/>
      <c r="R16" s="101"/>
      <c r="S16" s="101"/>
    </row>
    <row r="17" spans="1:19" x14ac:dyDescent="0.3">
      <c r="A17" s="81">
        <v>45523</v>
      </c>
      <c r="B17" s="2">
        <v>2300</v>
      </c>
      <c r="O17" s="101"/>
      <c r="P17" s="101"/>
      <c r="Q17" s="101"/>
      <c r="R17" s="101"/>
      <c r="S17" s="101"/>
    </row>
    <row r="18" spans="1:19" x14ac:dyDescent="0.3">
      <c r="A18" s="81">
        <v>45530</v>
      </c>
      <c r="B18" s="2">
        <v>2450</v>
      </c>
      <c r="O18" s="101"/>
      <c r="P18" s="101"/>
      <c r="Q18" s="101"/>
      <c r="R18" s="101"/>
      <c r="S18" s="101"/>
    </row>
    <row r="19" spans="1:19" x14ac:dyDescent="0.3">
      <c r="A19" s="81">
        <v>45537</v>
      </c>
      <c r="B19" s="2">
        <v>2502</v>
      </c>
      <c r="O19" s="101"/>
      <c r="P19" s="101"/>
      <c r="Q19" s="101"/>
      <c r="R19" s="101"/>
      <c r="S19" s="101"/>
    </row>
    <row r="20" spans="1:19" x14ac:dyDescent="0.3">
      <c r="A20" s="81">
        <v>45544</v>
      </c>
      <c r="B20" s="2">
        <v>2630</v>
      </c>
      <c r="O20" s="101"/>
      <c r="P20" s="101"/>
      <c r="Q20" s="101"/>
      <c r="R20" s="101"/>
      <c r="S20" s="101"/>
    </row>
    <row r="21" spans="1:19" x14ac:dyDescent="0.3">
      <c r="A21" s="81">
        <v>45551</v>
      </c>
      <c r="B21" s="2">
        <v>2162</v>
      </c>
      <c r="O21" s="101"/>
      <c r="P21" s="101"/>
      <c r="Q21" s="101"/>
      <c r="R21" s="101"/>
      <c r="S21" s="101"/>
    </row>
    <row r="22" spans="1:19" x14ac:dyDescent="0.3">
      <c r="A22" s="81">
        <v>45558</v>
      </c>
      <c r="B22" s="2">
        <v>2785</v>
      </c>
      <c r="O22" s="101"/>
      <c r="P22" s="101"/>
      <c r="Q22" s="101"/>
      <c r="R22" s="101"/>
      <c r="S22" s="101"/>
    </row>
    <row r="23" spans="1:19" x14ac:dyDescent="0.3">
      <c r="A23" s="81">
        <v>45565</v>
      </c>
      <c r="B23" s="2">
        <v>3151</v>
      </c>
      <c r="O23" s="101"/>
      <c r="P23" s="101"/>
      <c r="Q23" s="101"/>
      <c r="R23" s="101"/>
      <c r="S23" s="101"/>
    </row>
    <row r="24" spans="1:19" x14ac:dyDescent="0.3">
      <c r="A24" s="81">
        <v>45572</v>
      </c>
      <c r="B24" s="2">
        <v>2338</v>
      </c>
      <c r="O24" s="101"/>
      <c r="P24" s="101"/>
      <c r="Q24" s="101"/>
      <c r="R24" s="101"/>
      <c r="S24" s="101"/>
    </row>
    <row r="25" spans="1:19" x14ac:dyDescent="0.3">
      <c r="A25" s="81">
        <v>45579</v>
      </c>
      <c r="B25" s="2">
        <v>2670</v>
      </c>
    </row>
    <row r="26" spans="1:19" x14ac:dyDescent="0.3">
      <c r="A26" s="81">
        <v>45586</v>
      </c>
      <c r="B26" s="2">
        <v>2792</v>
      </c>
    </row>
    <row r="27" spans="1:19" x14ac:dyDescent="0.3">
      <c r="A27" s="81">
        <v>45593</v>
      </c>
      <c r="B27" s="2">
        <v>2181</v>
      </c>
    </row>
    <row r="28" spans="1:19" x14ac:dyDescent="0.3">
      <c r="A28" s="81">
        <v>45600</v>
      </c>
      <c r="B28" s="2">
        <v>3576</v>
      </c>
    </row>
    <row r="29" spans="1:19" x14ac:dyDescent="0.3">
      <c r="A29" s="81">
        <v>45607</v>
      </c>
      <c r="B29" s="2">
        <v>2794</v>
      </c>
    </row>
    <row r="30" spans="1:19" x14ac:dyDescent="0.3">
      <c r="A30" s="81">
        <v>45614</v>
      </c>
      <c r="B30" s="2">
        <v>1935</v>
      </c>
    </row>
    <row r="31" spans="1:19" x14ac:dyDescent="0.3">
      <c r="A31" s="81">
        <v>45621</v>
      </c>
      <c r="B31" s="2">
        <v>2287</v>
      </c>
    </row>
    <row r="32" spans="1:19" x14ac:dyDescent="0.3">
      <c r="A32" s="81">
        <v>45628</v>
      </c>
      <c r="B32" s="2">
        <v>2383</v>
      </c>
    </row>
    <row r="33" spans="1:2" x14ac:dyDescent="0.3">
      <c r="A33" s="81">
        <v>45635</v>
      </c>
      <c r="B33" s="2">
        <v>1398</v>
      </c>
    </row>
    <row r="34" spans="1:2" x14ac:dyDescent="0.3">
      <c r="A34" s="81">
        <v>45642</v>
      </c>
      <c r="B34" s="2">
        <v>2693</v>
      </c>
    </row>
    <row r="35" spans="1:2" x14ac:dyDescent="0.3">
      <c r="A35" s="81">
        <v>45649</v>
      </c>
      <c r="B35" s="2">
        <v>2550</v>
      </c>
    </row>
    <row r="36" spans="1:2" x14ac:dyDescent="0.3">
      <c r="A36" s="81">
        <v>45656</v>
      </c>
      <c r="B36" s="2">
        <v>2337</v>
      </c>
    </row>
    <row r="37" spans="1:2" x14ac:dyDescent="0.3">
      <c r="A37" s="81">
        <v>45663</v>
      </c>
      <c r="B37" s="2">
        <v>2451</v>
      </c>
    </row>
    <row r="38" spans="1:2" x14ac:dyDescent="0.3">
      <c r="A38" s="81">
        <v>45670</v>
      </c>
      <c r="B38" s="2">
        <v>2341</v>
      </c>
    </row>
    <row r="39" spans="1:2" x14ac:dyDescent="0.3">
      <c r="A39" s="81">
        <v>45677</v>
      </c>
      <c r="B39" s="2">
        <v>1832</v>
      </c>
    </row>
    <row r="40" spans="1:2" x14ac:dyDescent="0.3">
      <c r="A40" s="81">
        <v>45684</v>
      </c>
      <c r="B40" s="2">
        <v>1928</v>
      </c>
    </row>
    <row r="41" spans="1:2" x14ac:dyDescent="0.3">
      <c r="A41" s="81">
        <v>45691</v>
      </c>
      <c r="B41" s="2">
        <v>1680</v>
      </c>
    </row>
    <row r="42" spans="1:2" x14ac:dyDescent="0.3">
      <c r="A42" s="81">
        <v>45698</v>
      </c>
      <c r="B42" s="2">
        <v>2361</v>
      </c>
    </row>
    <row r="43" spans="1:2" x14ac:dyDescent="0.3">
      <c r="A43" s="81">
        <v>45705</v>
      </c>
      <c r="B43" s="2">
        <v>1543</v>
      </c>
    </row>
    <row r="44" spans="1:2" x14ac:dyDescent="0.3">
      <c r="A44" s="81">
        <v>45712</v>
      </c>
      <c r="B44" s="2">
        <v>1713</v>
      </c>
    </row>
    <row r="45" spans="1:2" x14ac:dyDescent="0.3">
      <c r="A45" s="81">
        <v>45719</v>
      </c>
      <c r="B45" s="2">
        <v>2763</v>
      </c>
    </row>
    <row r="46" spans="1:2" x14ac:dyDescent="0.3">
      <c r="A46" s="81">
        <v>45726</v>
      </c>
      <c r="B46" s="2">
        <v>2315</v>
      </c>
    </row>
    <row r="47" spans="1:2" x14ac:dyDescent="0.3">
      <c r="A47" s="81">
        <v>45733</v>
      </c>
      <c r="B47" s="2">
        <v>2188</v>
      </c>
    </row>
    <row r="48" spans="1:2" x14ac:dyDescent="0.3">
      <c r="A48" s="81">
        <v>45740</v>
      </c>
      <c r="B48" s="2">
        <v>2679</v>
      </c>
    </row>
    <row r="49" spans="1:2" x14ac:dyDescent="0.3">
      <c r="A49" s="81">
        <v>45747</v>
      </c>
      <c r="B49" s="2">
        <v>2781</v>
      </c>
    </row>
    <row r="50" spans="1:2" x14ac:dyDescent="0.3">
      <c r="A50" s="81">
        <v>45754</v>
      </c>
      <c r="B50" s="2">
        <v>3291</v>
      </c>
    </row>
    <row r="51" spans="1:2" x14ac:dyDescent="0.3">
      <c r="A51" s="81">
        <v>45761</v>
      </c>
      <c r="B51" s="2">
        <v>3216</v>
      </c>
    </row>
    <row r="52" spans="1:2" x14ac:dyDescent="0.3">
      <c r="A52" s="81">
        <v>45768</v>
      </c>
      <c r="B52" s="2">
        <v>1728</v>
      </c>
    </row>
    <row r="53" spans="1:2" x14ac:dyDescent="0.3">
      <c r="A53" s="81">
        <v>45775</v>
      </c>
      <c r="B53" s="2">
        <v>2378</v>
      </c>
    </row>
    <row r="54" spans="1:2" x14ac:dyDescent="0.3">
      <c r="A54" s="81">
        <v>45782</v>
      </c>
      <c r="B54" s="2">
        <v>2054</v>
      </c>
    </row>
    <row r="55" spans="1:2" x14ac:dyDescent="0.3">
      <c r="A55" s="81">
        <v>45789</v>
      </c>
      <c r="B55" s="2">
        <v>1400</v>
      </c>
    </row>
    <row r="56" spans="1:2" x14ac:dyDescent="0.3">
      <c r="A56" s="81">
        <v>45796</v>
      </c>
      <c r="B56" s="2">
        <v>3569</v>
      </c>
    </row>
    <row r="57" spans="1:2" x14ac:dyDescent="0.3">
      <c r="A57" s="81">
        <v>45803</v>
      </c>
      <c r="B57" s="2">
        <v>2909</v>
      </c>
    </row>
    <row r="58" spans="1:2" x14ac:dyDescent="0.3">
      <c r="A58" s="81">
        <v>45810</v>
      </c>
      <c r="B58" s="2">
        <v>2049</v>
      </c>
    </row>
    <row r="59" spans="1:2" x14ac:dyDescent="0.3">
      <c r="A59" s="81">
        <v>45817</v>
      </c>
      <c r="B59" s="2">
        <v>2243</v>
      </c>
    </row>
    <row r="60" spans="1:2" x14ac:dyDescent="0.3">
      <c r="A60" s="81">
        <v>45824</v>
      </c>
      <c r="B60" s="2">
        <v>2017</v>
      </c>
    </row>
    <row r="61" spans="1:2" x14ac:dyDescent="0.3">
      <c r="A61" s="81">
        <v>45831</v>
      </c>
      <c r="B61" s="2">
        <v>1384</v>
      </c>
    </row>
    <row r="62" spans="1:2" x14ac:dyDescent="0.3">
      <c r="A62" s="81">
        <v>45838</v>
      </c>
      <c r="B62" s="2">
        <v>2315</v>
      </c>
    </row>
    <row r="63" spans="1:2" x14ac:dyDescent="0.3">
      <c r="A63" s="81">
        <v>45845</v>
      </c>
      <c r="B63" s="2">
        <v>2669</v>
      </c>
    </row>
    <row r="64" spans="1:2" x14ac:dyDescent="0.3">
      <c r="A64" s="81">
        <v>45852</v>
      </c>
      <c r="B64" s="2">
        <v>2654</v>
      </c>
    </row>
    <row r="65" spans="1:2" x14ac:dyDescent="0.3">
      <c r="A65" s="81">
        <v>45859</v>
      </c>
      <c r="B65" s="2">
        <v>2694</v>
      </c>
    </row>
    <row r="66" spans="1:2" x14ac:dyDescent="0.3">
      <c r="A66" s="81">
        <v>45866</v>
      </c>
      <c r="B66" s="2">
        <v>3236</v>
      </c>
    </row>
    <row r="67" spans="1:2" x14ac:dyDescent="0.3">
      <c r="A67" s="81">
        <v>45873</v>
      </c>
      <c r="B67" s="2">
        <v>1689</v>
      </c>
    </row>
    <row r="68" spans="1:2" x14ac:dyDescent="0.3">
      <c r="A68" s="81">
        <v>45880</v>
      </c>
      <c r="B68" s="2">
        <v>2347</v>
      </c>
    </row>
    <row r="69" spans="1:2" x14ac:dyDescent="0.3">
      <c r="A69" s="81">
        <v>45887</v>
      </c>
      <c r="B69" s="2">
        <v>1819</v>
      </c>
    </row>
    <row r="70" spans="1:2" x14ac:dyDescent="0.3">
      <c r="A70" s="81">
        <v>45894</v>
      </c>
      <c r="B70" s="2">
        <v>2646</v>
      </c>
    </row>
    <row r="71" spans="1:2" x14ac:dyDescent="0.3">
      <c r="A71" s="81">
        <v>45901</v>
      </c>
      <c r="B71" s="2">
        <v>1424</v>
      </c>
    </row>
    <row r="72" spans="1:2" x14ac:dyDescent="0.3">
      <c r="A72" s="81">
        <v>45908</v>
      </c>
      <c r="B72" s="2">
        <v>1436</v>
      </c>
    </row>
    <row r="73" spans="1:2" x14ac:dyDescent="0.3">
      <c r="A73" s="81" t="s">
        <v>370</v>
      </c>
      <c r="B73" s="2">
        <v>161588</v>
      </c>
    </row>
  </sheetData>
  <mergeCells count="2">
    <mergeCell ref="A1:W3"/>
    <mergeCell ref="O9:S24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4DB0-1632-4EA0-B592-762AE0D331FE}">
  <sheetPr>
    <tabColor rgb="FF92D050"/>
  </sheetPr>
  <dimension ref="A1:V204"/>
  <sheetViews>
    <sheetView workbookViewId="0">
      <selection activeCell="E4" sqref="E4"/>
    </sheetView>
  </sheetViews>
  <sheetFormatPr defaultRowHeight="14.4" x14ac:dyDescent="0.3"/>
  <cols>
    <col min="1" max="1" width="17.109375" style="77" customWidth="1"/>
    <col min="2" max="2" width="15.44140625" style="82" customWidth="1"/>
    <col min="3" max="3" width="14.109375" customWidth="1"/>
    <col min="5" max="5" width="11.21875" bestFit="1" customWidth="1"/>
  </cols>
  <sheetData>
    <row r="1" spans="1:22" x14ac:dyDescent="0.3">
      <c r="A1" s="102" t="s">
        <v>390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</row>
    <row r="2" spans="1:22" x14ac:dyDescent="0.3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</row>
    <row r="3" spans="1:22" x14ac:dyDescent="0.3">
      <c r="E3" s="85" t="s">
        <v>391</v>
      </c>
    </row>
    <row r="4" spans="1:22" ht="28.8" x14ac:dyDescent="0.3">
      <c r="A4" s="6" t="s">
        <v>334</v>
      </c>
      <c r="B4" s="10" t="s">
        <v>339</v>
      </c>
      <c r="C4" s="11" t="s">
        <v>366</v>
      </c>
      <c r="E4" s="84">
        <f>CORREL(B5:B204,C5:C204)</f>
        <v>-1.6915989818837338E-2</v>
      </c>
      <c r="F4" s="103" t="s">
        <v>392</v>
      </c>
      <c r="G4" s="104"/>
      <c r="H4" s="104"/>
      <c r="I4" s="104"/>
      <c r="J4" s="104"/>
      <c r="K4" s="104"/>
      <c r="L4" s="104"/>
      <c r="M4" s="104"/>
      <c r="N4" s="104"/>
      <c r="O4" s="104"/>
    </row>
    <row r="5" spans="1:22" x14ac:dyDescent="0.3">
      <c r="A5" s="13">
        <v>45446</v>
      </c>
      <c r="B5" s="17">
        <f>_xlfn.XLOOKUP($A5,$A$5:$A$204,'task 6 Engagement Summary'!$G$2:$G$201,,0)</f>
        <v>23125</v>
      </c>
      <c r="C5" s="2">
        <v>1334</v>
      </c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22" x14ac:dyDescent="0.3">
      <c r="A6" s="13">
        <v>45446</v>
      </c>
      <c r="B6" s="17">
        <v>22788</v>
      </c>
      <c r="C6" s="2">
        <v>909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22" x14ac:dyDescent="0.3">
      <c r="A7" s="13">
        <v>45446</v>
      </c>
      <c r="B7" s="17">
        <v>7810</v>
      </c>
      <c r="C7" s="2">
        <v>1176</v>
      </c>
      <c r="E7" s="83"/>
    </row>
    <row r="8" spans="1:22" x14ac:dyDescent="0.3">
      <c r="A8" s="13">
        <v>45453</v>
      </c>
      <c r="B8" s="17">
        <v>11966</v>
      </c>
      <c r="C8" s="2">
        <v>928</v>
      </c>
    </row>
    <row r="9" spans="1:22" x14ac:dyDescent="0.3">
      <c r="A9" s="13">
        <v>45453</v>
      </c>
      <c r="B9" s="17">
        <v>26298</v>
      </c>
      <c r="C9" s="2">
        <v>1397</v>
      </c>
      <c r="E9" s="107" t="s">
        <v>393</v>
      </c>
      <c r="F9" s="107"/>
      <c r="G9" s="107"/>
      <c r="H9" s="107"/>
      <c r="I9" s="107"/>
    </row>
    <row r="10" spans="1:22" x14ac:dyDescent="0.3">
      <c r="A10" s="13">
        <v>45453</v>
      </c>
      <c r="B10" s="17">
        <v>22029</v>
      </c>
      <c r="C10" s="2">
        <v>452</v>
      </c>
      <c r="E10" s="105" t="s">
        <v>394</v>
      </c>
      <c r="F10" s="106"/>
      <c r="G10" s="106"/>
      <c r="H10" s="106"/>
      <c r="I10" s="106"/>
    </row>
    <row r="11" spans="1:22" x14ac:dyDescent="0.3">
      <c r="A11" s="13">
        <v>45460</v>
      </c>
      <c r="B11" s="17">
        <v>12391</v>
      </c>
      <c r="C11" s="2">
        <v>590</v>
      </c>
      <c r="E11" s="106"/>
      <c r="F11" s="106"/>
      <c r="G11" s="106"/>
      <c r="H11" s="106"/>
      <c r="I11" s="106"/>
    </row>
    <row r="12" spans="1:22" x14ac:dyDescent="0.3">
      <c r="A12" s="13">
        <v>45460</v>
      </c>
      <c r="B12" s="17">
        <v>14477</v>
      </c>
      <c r="C12" s="2">
        <v>1283</v>
      </c>
      <c r="E12" s="106"/>
      <c r="F12" s="106"/>
      <c r="G12" s="106"/>
      <c r="H12" s="106"/>
      <c r="I12" s="106"/>
    </row>
    <row r="13" spans="1:22" x14ac:dyDescent="0.3">
      <c r="A13" s="13">
        <v>45460</v>
      </c>
      <c r="B13" s="17">
        <v>25040</v>
      </c>
      <c r="C13" s="2">
        <v>1302</v>
      </c>
      <c r="E13" s="106"/>
      <c r="F13" s="106"/>
      <c r="G13" s="106"/>
      <c r="H13" s="106"/>
      <c r="I13" s="106"/>
    </row>
    <row r="14" spans="1:22" x14ac:dyDescent="0.3">
      <c r="A14" s="13">
        <v>45467</v>
      </c>
      <c r="B14" s="17">
        <v>22619</v>
      </c>
      <c r="C14" s="2">
        <v>612</v>
      </c>
    </row>
    <row r="15" spans="1:22" x14ac:dyDescent="0.3">
      <c r="A15" s="13">
        <v>45467</v>
      </c>
      <c r="B15" s="17">
        <v>12399</v>
      </c>
      <c r="C15" s="2">
        <v>1121</v>
      </c>
    </row>
    <row r="16" spans="1:22" x14ac:dyDescent="0.3">
      <c r="A16" s="13">
        <v>45467</v>
      </c>
      <c r="B16" s="17">
        <v>22456</v>
      </c>
      <c r="C16" s="2">
        <v>700</v>
      </c>
    </row>
    <row r="17" spans="1:3" x14ac:dyDescent="0.3">
      <c r="A17" s="13">
        <v>45474</v>
      </c>
      <c r="B17" s="17">
        <v>19328</v>
      </c>
      <c r="C17" s="2">
        <v>714</v>
      </c>
    </row>
    <row r="18" spans="1:3" x14ac:dyDescent="0.3">
      <c r="A18" s="13">
        <v>45474</v>
      </c>
      <c r="B18" s="17">
        <v>21107</v>
      </c>
      <c r="C18" s="2">
        <v>595</v>
      </c>
    </row>
    <row r="19" spans="1:3" x14ac:dyDescent="0.3">
      <c r="A19" s="13">
        <v>45474</v>
      </c>
      <c r="B19" s="17">
        <v>12277</v>
      </c>
      <c r="C19" s="2">
        <v>1117</v>
      </c>
    </row>
    <row r="20" spans="1:3" x14ac:dyDescent="0.3">
      <c r="A20" s="13">
        <v>45481</v>
      </c>
      <c r="B20" s="17">
        <v>11684</v>
      </c>
      <c r="C20" s="2">
        <v>667</v>
      </c>
    </row>
    <row r="21" spans="1:3" x14ac:dyDescent="0.3">
      <c r="A21" s="13">
        <v>45481</v>
      </c>
      <c r="B21" s="17">
        <v>14412</v>
      </c>
      <c r="C21" s="2">
        <v>1371</v>
      </c>
    </row>
    <row r="22" spans="1:3" x14ac:dyDescent="0.3">
      <c r="A22" s="13">
        <v>45481</v>
      </c>
      <c r="B22" s="17">
        <v>15924</v>
      </c>
      <c r="C22" s="2">
        <v>1117</v>
      </c>
    </row>
    <row r="23" spans="1:3" x14ac:dyDescent="0.3">
      <c r="A23" s="13">
        <v>45488</v>
      </c>
      <c r="B23" s="17">
        <v>12390</v>
      </c>
      <c r="C23" s="2">
        <v>359</v>
      </c>
    </row>
    <row r="24" spans="1:3" x14ac:dyDescent="0.3">
      <c r="A24" s="13">
        <v>45488</v>
      </c>
      <c r="B24" s="17">
        <v>25742</v>
      </c>
      <c r="C24" s="2">
        <v>1098</v>
      </c>
    </row>
    <row r="25" spans="1:3" x14ac:dyDescent="0.3">
      <c r="A25" s="13">
        <v>45488</v>
      </c>
      <c r="B25" s="17">
        <v>10495</v>
      </c>
      <c r="C25" s="2">
        <v>912</v>
      </c>
    </row>
    <row r="26" spans="1:3" x14ac:dyDescent="0.3">
      <c r="A26" s="13">
        <v>45495</v>
      </c>
      <c r="B26" s="17">
        <v>7797</v>
      </c>
      <c r="C26" s="2">
        <v>792</v>
      </c>
    </row>
    <row r="27" spans="1:3" x14ac:dyDescent="0.3">
      <c r="A27" s="13">
        <v>45495</v>
      </c>
      <c r="B27" s="17">
        <v>15595</v>
      </c>
      <c r="C27" s="2">
        <v>364</v>
      </c>
    </row>
    <row r="28" spans="1:3" x14ac:dyDescent="0.3">
      <c r="A28" s="13">
        <v>45495</v>
      </c>
      <c r="B28" s="17">
        <v>24617</v>
      </c>
      <c r="C28" s="2">
        <v>1125</v>
      </c>
    </row>
    <row r="29" spans="1:3" x14ac:dyDescent="0.3">
      <c r="A29" s="13">
        <v>45502</v>
      </c>
      <c r="B29" s="17">
        <v>9847</v>
      </c>
      <c r="C29" s="2">
        <v>869</v>
      </c>
    </row>
    <row r="30" spans="1:3" x14ac:dyDescent="0.3">
      <c r="A30" s="13">
        <v>45502</v>
      </c>
      <c r="B30" s="17">
        <v>13644</v>
      </c>
      <c r="C30" s="2">
        <v>414</v>
      </c>
    </row>
    <row r="31" spans="1:3" x14ac:dyDescent="0.3">
      <c r="A31" s="13">
        <v>45502</v>
      </c>
      <c r="B31" s="17">
        <v>11421</v>
      </c>
      <c r="C31" s="2">
        <v>849</v>
      </c>
    </row>
    <row r="32" spans="1:3" x14ac:dyDescent="0.3">
      <c r="A32" s="13">
        <v>45509</v>
      </c>
      <c r="B32" s="17">
        <v>15613</v>
      </c>
      <c r="C32" s="2">
        <v>1353</v>
      </c>
    </row>
    <row r="33" spans="1:3" x14ac:dyDescent="0.3">
      <c r="A33" s="13">
        <v>45509</v>
      </c>
      <c r="B33" s="17">
        <v>23900</v>
      </c>
      <c r="C33" s="2">
        <v>582</v>
      </c>
    </row>
    <row r="34" spans="1:3" x14ac:dyDescent="0.3">
      <c r="A34" s="13">
        <v>45509</v>
      </c>
      <c r="B34" s="17">
        <v>5836</v>
      </c>
      <c r="C34" s="2">
        <v>758</v>
      </c>
    </row>
    <row r="35" spans="1:3" x14ac:dyDescent="0.3">
      <c r="A35" s="13">
        <v>45516</v>
      </c>
      <c r="B35" s="17">
        <v>5624</v>
      </c>
      <c r="C35" s="2">
        <v>977</v>
      </c>
    </row>
    <row r="36" spans="1:3" x14ac:dyDescent="0.3">
      <c r="A36" s="13">
        <v>45516</v>
      </c>
      <c r="B36" s="17">
        <v>10311</v>
      </c>
      <c r="C36" s="2">
        <v>1191</v>
      </c>
    </row>
    <row r="37" spans="1:3" x14ac:dyDescent="0.3">
      <c r="A37" s="13">
        <v>45516</v>
      </c>
      <c r="B37" s="17">
        <v>8274</v>
      </c>
      <c r="C37" s="2">
        <v>904</v>
      </c>
    </row>
    <row r="38" spans="1:3" x14ac:dyDescent="0.3">
      <c r="A38" s="13">
        <v>45523</v>
      </c>
      <c r="B38" s="17">
        <v>6031</v>
      </c>
      <c r="C38" s="2">
        <v>909</v>
      </c>
    </row>
    <row r="39" spans="1:3" x14ac:dyDescent="0.3">
      <c r="A39" s="13">
        <v>45523</v>
      </c>
      <c r="B39" s="17">
        <v>27829</v>
      </c>
      <c r="C39" s="2">
        <v>382</v>
      </c>
    </row>
    <row r="40" spans="1:3" x14ac:dyDescent="0.3">
      <c r="A40" s="13">
        <v>45523</v>
      </c>
      <c r="B40" s="17">
        <v>18267</v>
      </c>
      <c r="C40" s="2">
        <v>1009</v>
      </c>
    </row>
    <row r="41" spans="1:3" x14ac:dyDescent="0.3">
      <c r="A41" s="13">
        <v>45530</v>
      </c>
      <c r="B41" s="17">
        <v>26624</v>
      </c>
      <c r="C41" s="2">
        <v>1022</v>
      </c>
    </row>
    <row r="42" spans="1:3" x14ac:dyDescent="0.3">
      <c r="A42" s="13">
        <v>45530</v>
      </c>
      <c r="B42" s="17">
        <v>26644</v>
      </c>
      <c r="C42" s="2">
        <v>262</v>
      </c>
    </row>
    <row r="43" spans="1:3" x14ac:dyDescent="0.3">
      <c r="A43" s="13">
        <v>45530</v>
      </c>
      <c r="B43" s="17">
        <v>13051</v>
      </c>
      <c r="C43" s="2">
        <v>1166</v>
      </c>
    </row>
    <row r="44" spans="1:3" x14ac:dyDescent="0.3">
      <c r="A44" s="13">
        <v>45537</v>
      </c>
      <c r="B44" s="17">
        <v>14217</v>
      </c>
      <c r="C44" s="2">
        <v>515</v>
      </c>
    </row>
    <row r="45" spans="1:3" x14ac:dyDescent="0.3">
      <c r="A45" s="13">
        <v>45537</v>
      </c>
      <c r="B45" s="17">
        <v>16385</v>
      </c>
      <c r="C45" s="2">
        <v>956</v>
      </c>
    </row>
    <row r="46" spans="1:3" x14ac:dyDescent="0.3">
      <c r="A46" s="13">
        <v>45537</v>
      </c>
      <c r="B46" s="17">
        <v>24548</v>
      </c>
      <c r="C46" s="2">
        <v>1031</v>
      </c>
    </row>
    <row r="47" spans="1:3" x14ac:dyDescent="0.3">
      <c r="A47" s="13">
        <v>45544</v>
      </c>
      <c r="B47" s="17">
        <v>9195</v>
      </c>
      <c r="C47" s="2">
        <v>637</v>
      </c>
    </row>
    <row r="48" spans="1:3" x14ac:dyDescent="0.3">
      <c r="A48" s="13">
        <v>45544</v>
      </c>
      <c r="B48" s="17">
        <v>18071</v>
      </c>
      <c r="C48" s="2">
        <v>1268</v>
      </c>
    </row>
    <row r="49" spans="1:3" x14ac:dyDescent="0.3">
      <c r="A49" s="13">
        <v>45544</v>
      </c>
      <c r="B49" s="17">
        <v>16875</v>
      </c>
      <c r="C49" s="2">
        <v>725</v>
      </c>
    </row>
    <row r="50" spans="1:3" x14ac:dyDescent="0.3">
      <c r="A50" s="13">
        <v>45551</v>
      </c>
      <c r="B50" s="17">
        <v>9567</v>
      </c>
      <c r="C50" s="2">
        <v>471</v>
      </c>
    </row>
    <row r="51" spans="1:3" x14ac:dyDescent="0.3">
      <c r="A51" s="13">
        <v>45551</v>
      </c>
      <c r="B51" s="17">
        <v>20306</v>
      </c>
      <c r="C51" s="2">
        <v>1291</v>
      </c>
    </row>
    <row r="52" spans="1:3" x14ac:dyDescent="0.3">
      <c r="A52" s="13">
        <v>45551</v>
      </c>
      <c r="B52" s="17">
        <v>21134</v>
      </c>
      <c r="C52" s="2">
        <v>400</v>
      </c>
    </row>
    <row r="53" spans="1:3" x14ac:dyDescent="0.3">
      <c r="A53" s="13">
        <v>45558</v>
      </c>
      <c r="B53" s="17">
        <v>26872</v>
      </c>
      <c r="C53" s="2">
        <v>1113</v>
      </c>
    </row>
    <row r="54" spans="1:3" x14ac:dyDescent="0.3">
      <c r="A54" s="13">
        <v>45558</v>
      </c>
      <c r="B54" s="17">
        <v>10253</v>
      </c>
      <c r="C54" s="2">
        <v>1198</v>
      </c>
    </row>
    <row r="55" spans="1:3" x14ac:dyDescent="0.3">
      <c r="A55" s="13">
        <v>45558</v>
      </c>
      <c r="B55" s="17">
        <v>23963</v>
      </c>
      <c r="C55" s="2">
        <v>474</v>
      </c>
    </row>
    <row r="56" spans="1:3" x14ac:dyDescent="0.3">
      <c r="A56" s="13">
        <v>45565</v>
      </c>
      <c r="B56" s="17">
        <v>11335</v>
      </c>
      <c r="C56" s="2">
        <v>1132</v>
      </c>
    </row>
    <row r="57" spans="1:3" x14ac:dyDescent="0.3">
      <c r="A57" s="13">
        <v>45565</v>
      </c>
      <c r="B57" s="17">
        <v>12115</v>
      </c>
      <c r="C57" s="2">
        <v>844</v>
      </c>
    </row>
    <row r="58" spans="1:3" x14ac:dyDescent="0.3">
      <c r="A58" s="13">
        <v>45565</v>
      </c>
      <c r="B58" s="17">
        <v>24358</v>
      </c>
      <c r="C58" s="2">
        <v>1175</v>
      </c>
    </row>
    <row r="59" spans="1:3" x14ac:dyDescent="0.3">
      <c r="A59" s="13">
        <v>45572</v>
      </c>
      <c r="B59" s="17">
        <v>12181</v>
      </c>
      <c r="C59" s="2">
        <v>559</v>
      </c>
    </row>
    <row r="60" spans="1:3" x14ac:dyDescent="0.3">
      <c r="A60" s="13">
        <v>45572</v>
      </c>
      <c r="B60" s="17">
        <v>17729</v>
      </c>
      <c r="C60" s="2">
        <v>554</v>
      </c>
    </row>
    <row r="61" spans="1:3" x14ac:dyDescent="0.3">
      <c r="A61" s="13">
        <v>45572</v>
      </c>
      <c r="B61" s="17">
        <v>10881</v>
      </c>
      <c r="C61" s="2">
        <v>1225</v>
      </c>
    </row>
    <row r="62" spans="1:3" x14ac:dyDescent="0.3">
      <c r="A62" s="13">
        <v>45579</v>
      </c>
      <c r="B62" s="17">
        <v>18576</v>
      </c>
      <c r="C62" s="2">
        <v>892</v>
      </c>
    </row>
    <row r="63" spans="1:3" x14ac:dyDescent="0.3">
      <c r="A63" s="13">
        <v>45579</v>
      </c>
      <c r="B63" s="17">
        <v>9383</v>
      </c>
      <c r="C63" s="2">
        <v>536</v>
      </c>
    </row>
    <row r="64" spans="1:3" x14ac:dyDescent="0.3">
      <c r="A64" s="13">
        <v>45579</v>
      </c>
      <c r="B64" s="17">
        <v>14178</v>
      </c>
      <c r="C64" s="2">
        <v>1242</v>
      </c>
    </row>
    <row r="65" spans="1:3" x14ac:dyDescent="0.3">
      <c r="A65" s="13">
        <v>45586</v>
      </c>
      <c r="B65" s="17">
        <v>21254</v>
      </c>
      <c r="C65" s="2">
        <v>948</v>
      </c>
    </row>
    <row r="66" spans="1:3" x14ac:dyDescent="0.3">
      <c r="A66" s="13">
        <v>45586</v>
      </c>
      <c r="B66" s="17">
        <v>14215</v>
      </c>
      <c r="C66" s="2">
        <v>762</v>
      </c>
    </row>
    <row r="67" spans="1:3" x14ac:dyDescent="0.3">
      <c r="A67" s="13">
        <v>45586</v>
      </c>
      <c r="B67" s="17">
        <v>16921</v>
      </c>
      <c r="C67" s="2">
        <v>1082</v>
      </c>
    </row>
    <row r="68" spans="1:3" x14ac:dyDescent="0.3">
      <c r="A68" s="13">
        <v>45593</v>
      </c>
      <c r="B68" s="17">
        <v>25130</v>
      </c>
      <c r="C68" s="2">
        <v>1174</v>
      </c>
    </row>
    <row r="69" spans="1:3" x14ac:dyDescent="0.3">
      <c r="A69" s="13">
        <v>45593</v>
      </c>
      <c r="B69" s="17">
        <v>25537</v>
      </c>
      <c r="C69" s="2">
        <v>464</v>
      </c>
    </row>
    <row r="70" spans="1:3" x14ac:dyDescent="0.3">
      <c r="A70" s="13">
        <v>45593</v>
      </c>
      <c r="B70" s="17">
        <v>24943</v>
      </c>
      <c r="C70" s="2">
        <v>543</v>
      </c>
    </row>
    <row r="71" spans="1:3" x14ac:dyDescent="0.3">
      <c r="A71" s="13">
        <v>45600</v>
      </c>
      <c r="B71" s="17">
        <v>14563</v>
      </c>
      <c r="C71" s="2">
        <v>1202</v>
      </c>
    </row>
    <row r="72" spans="1:3" x14ac:dyDescent="0.3">
      <c r="A72" s="13">
        <v>45600</v>
      </c>
      <c r="B72" s="17">
        <v>26273</v>
      </c>
      <c r="C72" s="2">
        <v>1390</v>
      </c>
    </row>
    <row r="73" spans="1:3" x14ac:dyDescent="0.3">
      <c r="A73" s="13">
        <v>45600</v>
      </c>
      <c r="B73" s="17">
        <v>10858</v>
      </c>
      <c r="C73" s="2">
        <v>984</v>
      </c>
    </row>
    <row r="74" spans="1:3" x14ac:dyDescent="0.3">
      <c r="A74" s="13">
        <v>45607</v>
      </c>
      <c r="B74" s="17">
        <v>25038</v>
      </c>
      <c r="C74" s="2">
        <v>1204</v>
      </c>
    </row>
    <row r="75" spans="1:3" x14ac:dyDescent="0.3">
      <c r="A75" s="13">
        <v>45607</v>
      </c>
      <c r="B75" s="17">
        <v>9092</v>
      </c>
      <c r="C75" s="2">
        <v>532</v>
      </c>
    </row>
    <row r="76" spans="1:3" x14ac:dyDescent="0.3">
      <c r="A76" s="13">
        <v>45607</v>
      </c>
      <c r="B76" s="17">
        <v>17662</v>
      </c>
      <c r="C76" s="2">
        <v>1058</v>
      </c>
    </row>
    <row r="77" spans="1:3" x14ac:dyDescent="0.3">
      <c r="A77" s="13">
        <v>45614</v>
      </c>
      <c r="B77" s="17">
        <v>5924</v>
      </c>
      <c r="C77" s="2">
        <v>676</v>
      </c>
    </row>
    <row r="78" spans="1:3" x14ac:dyDescent="0.3">
      <c r="A78" s="13">
        <v>45614</v>
      </c>
      <c r="B78" s="17">
        <v>25347</v>
      </c>
      <c r="C78" s="2">
        <v>577</v>
      </c>
    </row>
    <row r="79" spans="1:3" x14ac:dyDescent="0.3">
      <c r="A79" s="13">
        <v>45614</v>
      </c>
      <c r="B79" s="17">
        <v>8910</v>
      </c>
      <c r="C79" s="2">
        <v>682</v>
      </c>
    </row>
    <row r="80" spans="1:3" x14ac:dyDescent="0.3">
      <c r="A80" s="13">
        <v>45621</v>
      </c>
      <c r="B80" s="17">
        <v>20438</v>
      </c>
      <c r="C80" s="2">
        <v>450</v>
      </c>
    </row>
    <row r="81" spans="1:3" x14ac:dyDescent="0.3">
      <c r="A81" s="13">
        <v>45621</v>
      </c>
      <c r="B81" s="17">
        <v>8760</v>
      </c>
      <c r="C81" s="2">
        <v>683</v>
      </c>
    </row>
    <row r="82" spans="1:3" x14ac:dyDescent="0.3">
      <c r="A82" s="13">
        <v>45621</v>
      </c>
      <c r="B82" s="17">
        <v>6625</v>
      </c>
      <c r="C82" s="2">
        <v>1154</v>
      </c>
    </row>
    <row r="83" spans="1:3" x14ac:dyDescent="0.3">
      <c r="A83" s="13">
        <v>45628</v>
      </c>
      <c r="B83" s="17">
        <v>23329</v>
      </c>
      <c r="C83" s="2">
        <v>808</v>
      </c>
    </row>
    <row r="84" spans="1:3" x14ac:dyDescent="0.3">
      <c r="A84" s="13">
        <v>45628</v>
      </c>
      <c r="B84" s="17">
        <v>7299</v>
      </c>
      <c r="C84" s="2">
        <v>871</v>
      </c>
    </row>
    <row r="85" spans="1:3" x14ac:dyDescent="0.3">
      <c r="A85" s="13">
        <v>45628</v>
      </c>
      <c r="B85" s="17">
        <v>14496</v>
      </c>
      <c r="C85" s="2">
        <v>704</v>
      </c>
    </row>
    <row r="86" spans="1:3" x14ac:dyDescent="0.3">
      <c r="A86" s="13">
        <v>45635</v>
      </c>
      <c r="B86" s="17">
        <v>25703</v>
      </c>
      <c r="C86" s="2">
        <v>611</v>
      </c>
    </row>
    <row r="87" spans="1:3" x14ac:dyDescent="0.3">
      <c r="A87" s="13">
        <v>45635</v>
      </c>
      <c r="B87" s="17">
        <v>15108</v>
      </c>
      <c r="C87" s="2">
        <v>405</v>
      </c>
    </row>
    <row r="88" spans="1:3" x14ac:dyDescent="0.3">
      <c r="A88" s="13">
        <v>45635</v>
      </c>
      <c r="B88" s="17">
        <v>18867</v>
      </c>
      <c r="C88" s="2">
        <v>382</v>
      </c>
    </row>
    <row r="89" spans="1:3" x14ac:dyDescent="0.3">
      <c r="A89" s="13">
        <v>45642</v>
      </c>
      <c r="B89" s="17">
        <v>17574</v>
      </c>
      <c r="C89" s="2">
        <v>1117</v>
      </c>
    </row>
    <row r="90" spans="1:3" x14ac:dyDescent="0.3">
      <c r="A90" s="13">
        <v>45642</v>
      </c>
      <c r="B90" s="17">
        <v>12840</v>
      </c>
      <c r="C90" s="2">
        <v>477</v>
      </c>
    </row>
    <row r="91" spans="1:3" x14ac:dyDescent="0.3">
      <c r="A91" s="13">
        <v>45642</v>
      </c>
      <c r="B91" s="17">
        <v>21079</v>
      </c>
      <c r="C91" s="2">
        <v>1099</v>
      </c>
    </row>
    <row r="92" spans="1:3" x14ac:dyDescent="0.3">
      <c r="A92" s="13">
        <v>45649</v>
      </c>
      <c r="B92" s="17">
        <v>23486</v>
      </c>
      <c r="C92" s="2">
        <v>567</v>
      </c>
    </row>
    <row r="93" spans="1:3" x14ac:dyDescent="0.3">
      <c r="A93" s="13">
        <v>45649</v>
      </c>
      <c r="B93" s="17">
        <v>5960</v>
      </c>
      <c r="C93" s="2">
        <v>1133</v>
      </c>
    </row>
    <row r="94" spans="1:3" x14ac:dyDescent="0.3">
      <c r="A94" s="13">
        <v>45649</v>
      </c>
      <c r="B94" s="17">
        <v>13301</v>
      </c>
      <c r="C94" s="2">
        <v>850</v>
      </c>
    </row>
    <row r="95" spans="1:3" x14ac:dyDescent="0.3">
      <c r="A95" s="13">
        <v>45656</v>
      </c>
      <c r="B95" s="17">
        <v>10563</v>
      </c>
      <c r="C95" s="2">
        <v>413</v>
      </c>
    </row>
    <row r="96" spans="1:3" x14ac:dyDescent="0.3">
      <c r="A96" s="13">
        <v>45656</v>
      </c>
      <c r="B96" s="17">
        <v>19949</v>
      </c>
      <c r="C96" s="2">
        <v>1387</v>
      </c>
    </row>
    <row r="97" spans="1:3" x14ac:dyDescent="0.3">
      <c r="A97" s="13">
        <v>45656</v>
      </c>
      <c r="B97" s="17">
        <v>14273</v>
      </c>
      <c r="C97" s="2">
        <v>537</v>
      </c>
    </row>
    <row r="98" spans="1:3" x14ac:dyDescent="0.3">
      <c r="A98" s="13">
        <v>45663</v>
      </c>
      <c r="B98" s="17">
        <v>9247</v>
      </c>
      <c r="C98" s="2">
        <v>443</v>
      </c>
    </row>
    <row r="99" spans="1:3" x14ac:dyDescent="0.3">
      <c r="A99" s="13">
        <v>45663</v>
      </c>
      <c r="B99" s="17">
        <v>11972</v>
      </c>
      <c r="C99" s="2">
        <v>1283</v>
      </c>
    </row>
    <row r="100" spans="1:3" x14ac:dyDescent="0.3">
      <c r="A100" s="13">
        <v>45663</v>
      </c>
      <c r="B100" s="17">
        <v>13314</v>
      </c>
      <c r="C100" s="2">
        <v>725</v>
      </c>
    </row>
    <row r="101" spans="1:3" x14ac:dyDescent="0.3">
      <c r="A101" s="13">
        <v>45670</v>
      </c>
      <c r="B101" s="17">
        <v>14749</v>
      </c>
      <c r="C101" s="2">
        <v>467</v>
      </c>
    </row>
    <row r="102" spans="1:3" x14ac:dyDescent="0.3">
      <c r="A102" s="13">
        <v>45670</v>
      </c>
      <c r="B102" s="17">
        <v>6868</v>
      </c>
      <c r="C102" s="2">
        <v>1354</v>
      </c>
    </row>
    <row r="103" spans="1:3" x14ac:dyDescent="0.3">
      <c r="A103" s="13">
        <v>45670</v>
      </c>
      <c r="B103" s="17">
        <v>6027</v>
      </c>
      <c r="C103" s="2">
        <v>520</v>
      </c>
    </row>
    <row r="104" spans="1:3" x14ac:dyDescent="0.3">
      <c r="A104" s="13">
        <v>45677</v>
      </c>
      <c r="B104" s="17">
        <v>25267</v>
      </c>
      <c r="C104" s="2">
        <v>442</v>
      </c>
    </row>
    <row r="105" spans="1:3" x14ac:dyDescent="0.3">
      <c r="A105" s="13">
        <v>45677</v>
      </c>
      <c r="B105" s="17">
        <v>5900</v>
      </c>
      <c r="C105" s="2">
        <v>546</v>
      </c>
    </row>
    <row r="106" spans="1:3" x14ac:dyDescent="0.3">
      <c r="A106" s="13">
        <v>45677</v>
      </c>
      <c r="B106" s="17">
        <v>11181</v>
      </c>
      <c r="C106" s="2">
        <v>844</v>
      </c>
    </row>
    <row r="107" spans="1:3" x14ac:dyDescent="0.3">
      <c r="A107" s="13">
        <v>45684</v>
      </c>
      <c r="B107" s="17">
        <v>9592</v>
      </c>
      <c r="C107" s="2">
        <v>341</v>
      </c>
    </row>
    <row r="108" spans="1:3" x14ac:dyDescent="0.3">
      <c r="A108" s="13">
        <v>45684</v>
      </c>
      <c r="B108" s="17">
        <v>5291</v>
      </c>
      <c r="C108" s="2">
        <v>869</v>
      </c>
    </row>
    <row r="109" spans="1:3" x14ac:dyDescent="0.3">
      <c r="A109" s="13">
        <v>45684</v>
      </c>
      <c r="B109" s="17">
        <v>22244</v>
      </c>
      <c r="C109" s="2">
        <v>718</v>
      </c>
    </row>
    <row r="110" spans="1:3" x14ac:dyDescent="0.3">
      <c r="A110" s="13">
        <v>45691</v>
      </c>
      <c r="B110" s="17">
        <v>6824</v>
      </c>
      <c r="C110" s="2">
        <v>735</v>
      </c>
    </row>
    <row r="111" spans="1:3" x14ac:dyDescent="0.3">
      <c r="A111" s="13">
        <v>45691</v>
      </c>
      <c r="B111" s="17">
        <v>24112</v>
      </c>
      <c r="C111" s="2">
        <v>523</v>
      </c>
    </row>
    <row r="112" spans="1:3" x14ac:dyDescent="0.3">
      <c r="A112" s="13">
        <v>45691</v>
      </c>
      <c r="B112" s="17">
        <v>25478</v>
      </c>
      <c r="C112" s="2">
        <v>422</v>
      </c>
    </row>
    <row r="113" spans="1:3" x14ac:dyDescent="0.3">
      <c r="A113" s="13">
        <v>45698</v>
      </c>
      <c r="B113" s="17">
        <v>11235</v>
      </c>
      <c r="C113" s="2">
        <v>915</v>
      </c>
    </row>
    <row r="114" spans="1:3" x14ac:dyDescent="0.3">
      <c r="A114" s="13">
        <v>45698</v>
      </c>
      <c r="B114" s="17">
        <v>6120</v>
      </c>
      <c r="C114" s="2">
        <v>1108</v>
      </c>
    </row>
    <row r="115" spans="1:3" x14ac:dyDescent="0.3">
      <c r="A115" s="13">
        <v>45698</v>
      </c>
      <c r="B115" s="17">
        <v>20572</v>
      </c>
      <c r="C115" s="2">
        <v>338</v>
      </c>
    </row>
    <row r="116" spans="1:3" x14ac:dyDescent="0.3">
      <c r="A116" s="13">
        <v>45705</v>
      </c>
      <c r="B116" s="17">
        <v>14975</v>
      </c>
      <c r="C116" s="2">
        <v>724</v>
      </c>
    </row>
    <row r="117" spans="1:3" x14ac:dyDescent="0.3">
      <c r="A117" s="13">
        <v>45705</v>
      </c>
      <c r="B117" s="17">
        <v>22234</v>
      </c>
      <c r="C117" s="2">
        <v>463</v>
      </c>
    </row>
    <row r="118" spans="1:3" x14ac:dyDescent="0.3">
      <c r="A118" s="13">
        <v>45705</v>
      </c>
      <c r="B118" s="17">
        <v>6532</v>
      </c>
      <c r="C118" s="2">
        <v>356</v>
      </c>
    </row>
    <row r="119" spans="1:3" x14ac:dyDescent="0.3">
      <c r="A119" s="13">
        <v>45712</v>
      </c>
      <c r="B119" s="17">
        <v>24858</v>
      </c>
      <c r="C119" s="2">
        <v>378</v>
      </c>
    </row>
    <row r="120" spans="1:3" x14ac:dyDescent="0.3">
      <c r="A120" s="13">
        <v>45712</v>
      </c>
      <c r="B120" s="17">
        <v>13883</v>
      </c>
      <c r="C120" s="2">
        <v>636</v>
      </c>
    </row>
    <row r="121" spans="1:3" x14ac:dyDescent="0.3">
      <c r="A121" s="13">
        <v>45712</v>
      </c>
      <c r="B121" s="17">
        <v>18654</v>
      </c>
      <c r="C121" s="2">
        <v>699</v>
      </c>
    </row>
    <row r="122" spans="1:3" x14ac:dyDescent="0.3">
      <c r="A122" s="13">
        <v>45719</v>
      </c>
      <c r="B122" s="17">
        <v>25234</v>
      </c>
      <c r="C122" s="2">
        <v>1279</v>
      </c>
    </row>
    <row r="123" spans="1:3" x14ac:dyDescent="0.3">
      <c r="A123" s="13">
        <v>45719</v>
      </c>
      <c r="B123" s="17">
        <v>6772</v>
      </c>
      <c r="C123" s="2">
        <v>1006</v>
      </c>
    </row>
    <row r="124" spans="1:3" x14ac:dyDescent="0.3">
      <c r="A124" s="13">
        <v>45719</v>
      </c>
      <c r="B124" s="17">
        <v>22428</v>
      </c>
      <c r="C124" s="2">
        <v>478</v>
      </c>
    </row>
    <row r="125" spans="1:3" x14ac:dyDescent="0.3">
      <c r="A125" s="13">
        <v>45726</v>
      </c>
      <c r="B125" s="17">
        <v>11911</v>
      </c>
      <c r="C125" s="2">
        <v>545</v>
      </c>
    </row>
    <row r="126" spans="1:3" x14ac:dyDescent="0.3">
      <c r="A126" s="13">
        <v>45726</v>
      </c>
      <c r="B126" s="17">
        <v>21900</v>
      </c>
      <c r="C126" s="2">
        <v>1005</v>
      </c>
    </row>
    <row r="127" spans="1:3" x14ac:dyDescent="0.3">
      <c r="A127" s="13">
        <v>45726</v>
      </c>
      <c r="B127" s="17">
        <v>25542</v>
      </c>
      <c r="C127" s="2">
        <v>765</v>
      </c>
    </row>
    <row r="128" spans="1:3" x14ac:dyDescent="0.3">
      <c r="A128" s="13">
        <v>45733</v>
      </c>
      <c r="B128" s="17">
        <v>7140</v>
      </c>
      <c r="C128" s="2">
        <v>564</v>
      </c>
    </row>
    <row r="129" spans="1:3" x14ac:dyDescent="0.3">
      <c r="A129" s="13">
        <v>45733</v>
      </c>
      <c r="B129" s="17">
        <v>20474</v>
      </c>
      <c r="C129" s="2">
        <v>496</v>
      </c>
    </row>
    <row r="130" spans="1:3" x14ac:dyDescent="0.3">
      <c r="A130" s="13">
        <v>45733</v>
      </c>
      <c r="B130" s="17">
        <v>8698</v>
      </c>
      <c r="C130" s="2">
        <v>1128</v>
      </c>
    </row>
    <row r="131" spans="1:3" x14ac:dyDescent="0.3">
      <c r="A131" s="13">
        <v>45740</v>
      </c>
      <c r="B131" s="17">
        <v>10402</v>
      </c>
      <c r="C131" s="2">
        <v>565</v>
      </c>
    </row>
    <row r="132" spans="1:3" x14ac:dyDescent="0.3">
      <c r="A132" s="13">
        <v>45740</v>
      </c>
      <c r="B132" s="17">
        <v>26618</v>
      </c>
      <c r="C132" s="2">
        <v>813</v>
      </c>
    </row>
    <row r="133" spans="1:3" x14ac:dyDescent="0.3">
      <c r="A133" s="13">
        <v>45740</v>
      </c>
      <c r="B133" s="17">
        <v>7975</v>
      </c>
      <c r="C133" s="2">
        <v>1301</v>
      </c>
    </row>
    <row r="134" spans="1:3" x14ac:dyDescent="0.3">
      <c r="A134" s="13">
        <v>45747</v>
      </c>
      <c r="B134" s="17">
        <v>19054</v>
      </c>
      <c r="C134" s="2">
        <v>436</v>
      </c>
    </row>
    <row r="135" spans="1:3" x14ac:dyDescent="0.3">
      <c r="A135" s="13">
        <v>45747</v>
      </c>
      <c r="B135" s="17">
        <v>13740</v>
      </c>
      <c r="C135" s="2">
        <v>978</v>
      </c>
    </row>
    <row r="136" spans="1:3" x14ac:dyDescent="0.3">
      <c r="A136" s="13">
        <v>45747</v>
      </c>
      <c r="B136" s="17">
        <v>18442</v>
      </c>
      <c r="C136" s="2">
        <v>1367</v>
      </c>
    </row>
    <row r="137" spans="1:3" x14ac:dyDescent="0.3">
      <c r="A137" s="13">
        <v>45754</v>
      </c>
      <c r="B137" s="17">
        <v>10104</v>
      </c>
      <c r="C137" s="2">
        <v>1337</v>
      </c>
    </row>
    <row r="138" spans="1:3" x14ac:dyDescent="0.3">
      <c r="A138" s="13">
        <v>45754</v>
      </c>
      <c r="B138" s="17">
        <v>21771</v>
      </c>
      <c r="C138" s="2">
        <v>1014</v>
      </c>
    </row>
    <row r="139" spans="1:3" x14ac:dyDescent="0.3">
      <c r="A139" s="13">
        <v>45754</v>
      </c>
      <c r="B139" s="17">
        <v>22191</v>
      </c>
      <c r="C139" s="2">
        <v>940</v>
      </c>
    </row>
    <row r="140" spans="1:3" x14ac:dyDescent="0.3">
      <c r="A140" s="13">
        <v>45761</v>
      </c>
      <c r="B140" s="17">
        <v>27753</v>
      </c>
      <c r="C140" s="2">
        <v>690</v>
      </c>
    </row>
    <row r="141" spans="1:3" x14ac:dyDescent="0.3">
      <c r="A141" s="13">
        <v>45761</v>
      </c>
      <c r="B141" s="17">
        <v>23736</v>
      </c>
      <c r="C141" s="2">
        <v>1335</v>
      </c>
    </row>
    <row r="142" spans="1:3" x14ac:dyDescent="0.3">
      <c r="A142" s="13">
        <v>45761</v>
      </c>
      <c r="B142" s="17">
        <v>27393</v>
      </c>
      <c r="C142" s="2">
        <v>1191</v>
      </c>
    </row>
    <row r="143" spans="1:3" x14ac:dyDescent="0.3">
      <c r="A143" s="13">
        <v>45768</v>
      </c>
      <c r="B143" s="17">
        <v>10343</v>
      </c>
      <c r="C143" s="2">
        <v>353</v>
      </c>
    </row>
    <row r="144" spans="1:3" x14ac:dyDescent="0.3">
      <c r="A144" s="13">
        <v>45768</v>
      </c>
      <c r="B144" s="17">
        <v>25259</v>
      </c>
      <c r="C144" s="2">
        <v>486</v>
      </c>
    </row>
    <row r="145" spans="1:3" x14ac:dyDescent="0.3">
      <c r="A145" s="13">
        <v>45768</v>
      </c>
      <c r="B145" s="17">
        <v>24827</v>
      </c>
      <c r="C145" s="2">
        <v>889</v>
      </c>
    </row>
    <row r="146" spans="1:3" x14ac:dyDescent="0.3">
      <c r="A146" s="13">
        <v>45775</v>
      </c>
      <c r="B146" s="17">
        <v>11908</v>
      </c>
      <c r="C146" s="2">
        <v>983</v>
      </c>
    </row>
    <row r="147" spans="1:3" x14ac:dyDescent="0.3">
      <c r="A147" s="13">
        <v>45775</v>
      </c>
      <c r="B147" s="17">
        <v>11005</v>
      </c>
      <c r="C147" s="2">
        <v>581</v>
      </c>
    </row>
    <row r="148" spans="1:3" x14ac:dyDescent="0.3">
      <c r="A148" s="13">
        <v>45775</v>
      </c>
      <c r="B148" s="17">
        <v>26333</v>
      </c>
      <c r="C148" s="2">
        <v>814</v>
      </c>
    </row>
    <row r="149" spans="1:3" x14ac:dyDescent="0.3">
      <c r="A149" s="13">
        <v>45782</v>
      </c>
      <c r="B149" s="17">
        <v>5495</v>
      </c>
      <c r="C149" s="2">
        <v>919</v>
      </c>
    </row>
    <row r="150" spans="1:3" x14ac:dyDescent="0.3">
      <c r="A150" s="13">
        <v>45782</v>
      </c>
      <c r="B150" s="17">
        <v>15655</v>
      </c>
      <c r="C150" s="2">
        <v>676</v>
      </c>
    </row>
    <row r="151" spans="1:3" x14ac:dyDescent="0.3">
      <c r="A151" s="13">
        <v>45782</v>
      </c>
      <c r="B151" s="17">
        <v>13763</v>
      </c>
      <c r="C151" s="2">
        <v>459</v>
      </c>
    </row>
    <row r="152" spans="1:3" x14ac:dyDescent="0.3">
      <c r="A152" s="13">
        <v>45789</v>
      </c>
      <c r="B152" s="17">
        <v>26073</v>
      </c>
      <c r="C152" s="2">
        <v>576</v>
      </c>
    </row>
    <row r="153" spans="1:3" x14ac:dyDescent="0.3">
      <c r="A153" s="13">
        <v>45789</v>
      </c>
      <c r="B153" s="17">
        <v>12774</v>
      </c>
      <c r="C153" s="2">
        <v>447</v>
      </c>
    </row>
    <row r="154" spans="1:3" x14ac:dyDescent="0.3">
      <c r="A154" s="13">
        <v>45789</v>
      </c>
      <c r="B154" s="17">
        <v>19000</v>
      </c>
      <c r="C154" s="2">
        <v>377</v>
      </c>
    </row>
    <row r="155" spans="1:3" x14ac:dyDescent="0.3">
      <c r="A155" s="13">
        <v>45796</v>
      </c>
      <c r="B155" s="17">
        <v>14051</v>
      </c>
      <c r="C155" s="2">
        <v>932</v>
      </c>
    </row>
    <row r="156" spans="1:3" x14ac:dyDescent="0.3">
      <c r="A156" s="13">
        <v>45796</v>
      </c>
      <c r="B156" s="17">
        <v>27782</v>
      </c>
      <c r="C156" s="2">
        <v>1356</v>
      </c>
    </row>
    <row r="157" spans="1:3" x14ac:dyDescent="0.3">
      <c r="A157" s="13">
        <v>45796</v>
      </c>
      <c r="B157" s="17">
        <v>7859</v>
      </c>
      <c r="C157" s="2">
        <v>1281</v>
      </c>
    </row>
    <row r="158" spans="1:3" x14ac:dyDescent="0.3">
      <c r="A158" s="13">
        <v>45803</v>
      </c>
      <c r="B158" s="17">
        <v>15773</v>
      </c>
      <c r="C158" s="2">
        <v>1041</v>
      </c>
    </row>
    <row r="159" spans="1:3" x14ac:dyDescent="0.3">
      <c r="A159" s="13">
        <v>45803</v>
      </c>
      <c r="B159" s="17">
        <v>20595</v>
      </c>
      <c r="C159" s="2">
        <v>1184</v>
      </c>
    </row>
    <row r="160" spans="1:3" x14ac:dyDescent="0.3">
      <c r="A160" s="13">
        <v>45803</v>
      </c>
      <c r="B160" s="17">
        <v>12031</v>
      </c>
      <c r="C160" s="2">
        <v>684</v>
      </c>
    </row>
    <row r="161" spans="1:3" x14ac:dyDescent="0.3">
      <c r="A161" s="13">
        <v>45810</v>
      </c>
      <c r="B161" s="17">
        <v>15128</v>
      </c>
      <c r="C161" s="2">
        <v>354</v>
      </c>
    </row>
    <row r="162" spans="1:3" x14ac:dyDescent="0.3">
      <c r="A162" s="13">
        <v>45810</v>
      </c>
      <c r="B162" s="17">
        <v>11826</v>
      </c>
      <c r="C162" s="2">
        <v>1126</v>
      </c>
    </row>
    <row r="163" spans="1:3" x14ac:dyDescent="0.3">
      <c r="A163" s="13">
        <v>45810</v>
      </c>
      <c r="B163" s="17">
        <v>12562</v>
      </c>
      <c r="C163" s="2">
        <v>569</v>
      </c>
    </row>
    <row r="164" spans="1:3" x14ac:dyDescent="0.3">
      <c r="A164" s="13">
        <v>45817</v>
      </c>
      <c r="B164" s="17">
        <v>13013</v>
      </c>
      <c r="C164" s="2">
        <v>730</v>
      </c>
    </row>
    <row r="165" spans="1:3" x14ac:dyDescent="0.3">
      <c r="A165" s="13">
        <v>45817</v>
      </c>
      <c r="B165" s="17">
        <v>12937</v>
      </c>
      <c r="C165" s="2">
        <v>578</v>
      </c>
    </row>
    <row r="166" spans="1:3" x14ac:dyDescent="0.3">
      <c r="A166" s="13">
        <v>45817</v>
      </c>
      <c r="B166" s="17">
        <v>14534</v>
      </c>
      <c r="C166" s="2">
        <v>935</v>
      </c>
    </row>
    <row r="167" spans="1:3" x14ac:dyDescent="0.3">
      <c r="A167" s="13">
        <v>45824</v>
      </c>
      <c r="B167" s="17">
        <v>8182</v>
      </c>
      <c r="C167" s="2">
        <v>698</v>
      </c>
    </row>
    <row r="168" spans="1:3" x14ac:dyDescent="0.3">
      <c r="A168" s="13">
        <v>45824</v>
      </c>
      <c r="B168" s="17">
        <v>10615</v>
      </c>
      <c r="C168" s="2">
        <v>325</v>
      </c>
    </row>
    <row r="169" spans="1:3" x14ac:dyDescent="0.3">
      <c r="A169" s="13">
        <v>45824</v>
      </c>
      <c r="B169" s="17">
        <v>20109</v>
      </c>
      <c r="C169" s="2">
        <v>994</v>
      </c>
    </row>
    <row r="170" spans="1:3" x14ac:dyDescent="0.3">
      <c r="A170" s="13">
        <v>45831</v>
      </c>
      <c r="B170" s="17">
        <v>26024</v>
      </c>
      <c r="C170" s="2">
        <v>320</v>
      </c>
    </row>
    <row r="171" spans="1:3" x14ac:dyDescent="0.3">
      <c r="A171" s="13">
        <v>45831</v>
      </c>
      <c r="B171" s="17">
        <v>26730</v>
      </c>
      <c r="C171" s="2">
        <v>544</v>
      </c>
    </row>
    <row r="172" spans="1:3" x14ac:dyDescent="0.3">
      <c r="A172" s="13">
        <v>45831</v>
      </c>
      <c r="B172" s="17">
        <v>10563</v>
      </c>
      <c r="C172" s="2">
        <v>520</v>
      </c>
    </row>
    <row r="173" spans="1:3" x14ac:dyDescent="0.3">
      <c r="A173" s="13">
        <v>45838</v>
      </c>
      <c r="B173" s="17">
        <v>27575</v>
      </c>
      <c r="C173" s="2">
        <v>485</v>
      </c>
    </row>
    <row r="174" spans="1:3" x14ac:dyDescent="0.3">
      <c r="A174" s="13">
        <v>45838</v>
      </c>
      <c r="B174" s="17">
        <v>14479</v>
      </c>
      <c r="C174" s="2">
        <v>1234</v>
      </c>
    </row>
    <row r="175" spans="1:3" x14ac:dyDescent="0.3">
      <c r="A175" s="13">
        <v>45838</v>
      </c>
      <c r="B175" s="17">
        <v>15915</v>
      </c>
      <c r="C175" s="2">
        <v>596</v>
      </c>
    </row>
    <row r="176" spans="1:3" x14ac:dyDescent="0.3">
      <c r="A176" s="13">
        <v>45845</v>
      </c>
      <c r="B176" s="17">
        <v>12767</v>
      </c>
      <c r="C176" s="2">
        <v>831</v>
      </c>
    </row>
    <row r="177" spans="1:3" x14ac:dyDescent="0.3">
      <c r="A177" s="13">
        <v>45845</v>
      </c>
      <c r="B177" s="17">
        <v>12170</v>
      </c>
      <c r="C177" s="2">
        <v>1033</v>
      </c>
    </row>
    <row r="178" spans="1:3" x14ac:dyDescent="0.3">
      <c r="A178" s="13">
        <v>45845</v>
      </c>
      <c r="B178" s="17">
        <v>7245</v>
      </c>
      <c r="C178" s="2">
        <v>805</v>
      </c>
    </row>
    <row r="179" spans="1:3" x14ac:dyDescent="0.3">
      <c r="A179" s="13">
        <v>45852</v>
      </c>
      <c r="B179" s="17">
        <v>12985</v>
      </c>
      <c r="C179" s="2">
        <v>1274</v>
      </c>
    </row>
    <row r="180" spans="1:3" x14ac:dyDescent="0.3">
      <c r="A180" s="13">
        <v>45852</v>
      </c>
      <c r="B180" s="17">
        <v>16377</v>
      </c>
      <c r="C180" s="2">
        <v>428</v>
      </c>
    </row>
    <row r="181" spans="1:3" x14ac:dyDescent="0.3">
      <c r="A181" s="13">
        <v>45852</v>
      </c>
      <c r="B181" s="17">
        <v>11453</v>
      </c>
      <c r="C181" s="2">
        <v>952</v>
      </c>
    </row>
    <row r="182" spans="1:3" x14ac:dyDescent="0.3">
      <c r="A182" s="13">
        <v>45859</v>
      </c>
      <c r="B182" s="17">
        <v>12323</v>
      </c>
      <c r="C182" s="2">
        <v>951</v>
      </c>
    </row>
    <row r="183" spans="1:3" x14ac:dyDescent="0.3">
      <c r="A183" s="13">
        <v>45859</v>
      </c>
      <c r="B183" s="17">
        <v>11911</v>
      </c>
      <c r="C183" s="2">
        <v>604</v>
      </c>
    </row>
    <row r="184" spans="1:3" x14ac:dyDescent="0.3">
      <c r="A184" s="13">
        <v>45859</v>
      </c>
      <c r="B184" s="17">
        <v>27809</v>
      </c>
      <c r="C184" s="2">
        <v>1139</v>
      </c>
    </row>
    <row r="185" spans="1:3" x14ac:dyDescent="0.3">
      <c r="A185" s="13">
        <v>45866</v>
      </c>
      <c r="B185" s="17">
        <v>21464</v>
      </c>
      <c r="C185" s="2">
        <v>567</v>
      </c>
    </row>
    <row r="186" spans="1:3" x14ac:dyDescent="0.3">
      <c r="A186" s="13">
        <v>45866</v>
      </c>
      <c r="B186" s="17">
        <v>27126</v>
      </c>
      <c r="C186" s="2">
        <v>1282</v>
      </c>
    </row>
    <row r="187" spans="1:3" x14ac:dyDescent="0.3">
      <c r="A187" s="13">
        <v>45866</v>
      </c>
      <c r="B187" s="17">
        <v>10681</v>
      </c>
      <c r="C187" s="2">
        <v>1387</v>
      </c>
    </row>
    <row r="188" spans="1:3" x14ac:dyDescent="0.3">
      <c r="A188" s="13">
        <v>45873</v>
      </c>
      <c r="B188" s="17">
        <v>5413</v>
      </c>
      <c r="C188" s="2">
        <v>667</v>
      </c>
    </row>
    <row r="189" spans="1:3" x14ac:dyDescent="0.3">
      <c r="A189" s="13">
        <v>45873</v>
      </c>
      <c r="B189" s="17">
        <v>25058</v>
      </c>
      <c r="C189" s="2">
        <v>499</v>
      </c>
    </row>
    <row r="190" spans="1:3" x14ac:dyDescent="0.3">
      <c r="A190" s="13">
        <v>45873</v>
      </c>
      <c r="B190" s="17">
        <v>18303</v>
      </c>
      <c r="C190" s="2">
        <v>523</v>
      </c>
    </row>
    <row r="191" spans="1:3" x14ac:dyDescent="0.3">
      <c r="A191" s="13">
        <v>45880</v>
      </c>
      <c r="B191" s="17">
        <v>5526</v>
      </c>
      <c r="C191" s="2">
        <v>896</v>
      </c>
    </row>
    <row r="192" spans="1:3" x14ac:dyDescent="0.3">
      <c r="A192" s="13">
        <v>45880</v>
      </c>
      <c r="B192" s="17">
        <v>17460</v>
      </c>
      <c r="C192" s="2">
        <v>702</v>
      </c>
    </row>
    <row r="193" spans="1:3" x14ac:dyDescent="0.3">
      <c r="A193" s="13">
        <v>45880</v>
      </c>
      <c r="B193" s="17">
        <v>14475</v>
      </c>
      <c r="C193" s="2">
        <v>749</v>
      </c>
    </row>
    <row r="194" spans="1:3" x14ac:dyDescent="0.3">
      <c r="A194" s="13">
        <v>45887</v>
      </c>
      <c r="B194" s="17">
        <v>20162</v>
      </c>
      <c r="C194" s="2">
        <v>333</v>
      </c>
    </row>
    <row r="195" spans="1:3" x14ac:dyDescent="0.3">
      <c r="A195" s="13">
        <v>45887</v>
      </c>
      <c r="B195" s="17">
        <v>17103</v>
      </c>
      <c r="C195" s="2">
        <v>647</v>
      </c>
    </row>
    <row r="196" spans="1:3" x14ac:dyDescent="0.3">
      <c r="A196" s="13">
        <v>45887</v>
      </c>
      <c r="B196" s="17">
        <v>15461</v>
      </c>
      <c r="C196" s="2">
        <v>839</v>
      </c>
    </row>
    <row r="197" spans="1:3" x14ac:dyDescent="0.3">
      <c r="A197" s="13">
        <v>45894</v>
      </c>
      <c r="B197" s="17">
        <v>22103</v>
      </c>
      <c r="C197" s="2">
        <v>960</v>
      </c>
    </row>
    <row r="198" spans="1:3" x14ac:dyDescent="0.3">
      <c r="A198" s="13">
        <v>45894</v>
      </c>
      <c r="B198" s="17">
        <v>11625</v>
      </c>
      <c r="C198" s="2">
        <v>1168</v>
      </c>
    </row>
    <row r="199" spans="1:3" x14ac:dyDescent="0.3">
      <c r="A199" s="13">
        <v>45894</v>
      </c>
      <c r="B199" s="17">
        <v>5281</v>
      </c>
      <c r="C199" s="2">
        <v>518</v>
      </c>
    </row>
    <row r="200" spans="1:3" x14ac:dyDescent="0.3">
      <c r="A200" s="13">
        <v>45901</v>
      </c>
      <c r="B200" s="17">
        <v>13424</v>
      </c>
      <c r="C200" s="2">
        <v>872</v>
      </c>
    </row>
    <row r="201" spans="1:3" x14ac:dyDescent="0.3">
      <c r="A201" s="13">
        <v>45901</v>
      </c>
      <c r="B201" s="17">
        <v>13140</v>
      </c>
      <c r="C201" s="2">
        <v>302</v>
      </c>
    </row>
    <row r="202" spans="1:3" x14ac:dyDescent="0.3">
      <c r="A202" s="13">
        <v>45901</v>
      </c>
      <c r="B202" s="17">
        <v>19538</v>
      </c>
      <c r="C202" s="2">
        <v>250</v>
      </c>
    </row>
    <row r="203" spans="1:3" x14ac:dyDescent="0.3">
      <c r="A203" s="13">
        <v>45908</v>
      </c>
      <c r="B203" s="17">
        <v>7881</v>
      </c>
      <c r="C203" s="2">
        <v>820</v>
      </c>
    </row>
    <row r="204" spans="1:3" x14ac:dyDescent="0.3">
      <c r="A204" s="13">
        <v>45908</v>
      </c>
      <c r="B204" s="17">
        <v>11418</v>
      </c>
      <c r="C204" s="2">
        <v>616</v>
      </c>
    </row>
  </sheetData>
  <mergeCells count="4">
    <mergeCell ref="A1:V2"/>
    <mergeCell ref="F4:O6"/>
    <mergeCell ref="E10:I13"/>
    <mergeCell ref="E9:I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C3EC-385F-435D-91BB-159C5A1F41EC}">
  <sheetPr>
    <tabColor rgb="FF92D050"/>
  </sheetPr>
  <dimension ref="A1"/>
  <sheetViews>
    <sheetView showGridLines="0" workbookViewId="0">
      <selection activeCell="U4" sqref="U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179" workbookViewId="0">
      <selection activeCell="J1" sqref="J1:J201"/>
    </sheetView>
  </sheetViews>
  <sheetFormatPr defaultColWidth="14.44140625" defaultRowHeight="15" customHeight="1" x14ac:dyDescent="0.3"/>
  <cols>
    <col min="1" max="1" width="19" style="1" customWidth="1"/>
    <col min="2" max="2" width="11.88671875" customWidth="1"/>
    <col min="3" max="3" width="17.44140625" style="2" customWidth="1"/>
    <col min="4" max="4" width="13.33203125" style="2" customWidth="1"/>
    <col min="5" max="5" width="18" style="2" customWidth="1"/>
    <col min="6" max="6" width="20.5546875" style="4" customWidth="1"/>
    <col min="7" max="7" width="14.109375" style="3" customWidth="1"/>
    <col min="8" max="8" width="11.6640625" style="5" customWidth="1"/>
    <col min="9" max="9" width="8.6640625" style="5" customWidth="1"/>
    <col min="10" max="10" width="13.33203125" customWidth="1"/>
    <col min="11" max="11" width="8.6640625" customWidth="1"/>
    <col min="12" max="12" width="13.5546875" customWidth="1"/>
    <col min="13" max="25" width="8.6640625" customWidth="1"/>
  </cols>
  <sheetData>
    <row r="1" spans="1:12" s="11" customFormat="1" ht="46.8" customHeight="1" x14ac:dyDescent="0.3">
      <c r="A1" s="6" t="s">
        <v>334</v>
      </c>
      <c r="B1" s="7" t="s">
        <v>1</v>
      </c>
      <c r="C1" s="8" t="s">
        <v>335</v>
      </c>
      <c r="D1" s="8" t="s">
        <v>336</v>
      </c>
      <c r="E1" s="8" t="s">
        <v>337</v>
      </c>
      <c r="F1" s="9" t="s">
        <v>338</v>
      </c>
      <c r="G1" s="10" t="s">
        <v>339</v>
      </c>
      <c r="H1" s="12" t="s">
        <v>367</v>
      </c>
      <c r="I1" s="12" t="s">
        <v>365</v>
      </c>
      <c r="J1" s="11" t="s">
        <v>366</v>
      </c>
    </row>
    <row r="2" spans="1:12" ht="14.4" x14ac:dyDescent="0.3">
      <c r="A2" s="13">
        <v>45446</v>
      </c>
      <c r="B2" s="14" t="s">
        <v>13</v>
      </c>
      <c r="C2" s="15">
        <v>1402</v>
      </c>
      <c r="D2" s="15">
        <v>68</v>
      </c>
      <c r="E2" s="15">
        <v>124562</v>
      </c>
      <c r="F2" s="16">
        <v>9.92</v>
      </c>
      <c r="G2" s="17">
        <v>23125</v>
      </c>
      <c r="H2" s="18">
        <f>F2/100</f>
        <v>9.9199999999999997E-2</v>
      </c>
      <c r="I2" s="5">
        <f>(C2-D2)/E2</f>
        <v>1.0709526179733787E-2</v>
      </c>
      <c r="J2" s="2">
        <f>C2-D2</f>
        <v>1334</v>
      </c>
      <c r="L2" s="3"/>
    </row>
    <row r="3" spans="1:12" ht="14.4" x14ac:dyDescent="0.3">
      <c r="A3" s="13">
        <v>45446</v>
      </c>
      <c r="B3" s="14" t="s">
        <v>22</v>
      </c>
      <c r="C3" s="15">
        <v>995</v>
      </c>
      <c r="D3" s="15">
        <v>86</v>
      </c>
      <c r="E3" s="15">
        <v>227958</v>
      </c>
      <c r="F3" s="16">
        <v>8.0500000000000007</v>
      </c>
      <c r="G3" s="17">
        <v>22788</v>
      </c>
      <c r="H3" s="18">
        <f t="shared" ref="H3:H66" si="0">F3/100</f>
        <v>8.0500000000000002E-2</v>
      </c>
      <c r="I3" s="5">
        <f t="shared" ref="I3:I66" si="1">(C3-D3)/E3</f>
        <v>3.9875766588582107E-3</v>
      </c>
      <c r="J3" s="2">
        <f t="shared" ref="J3:J66" si="2">C3-D3</f>
        <v>909</v>
      </c>
      <c r="L3">
        <f>CORREL(G2:G201,J2:J201)</f>
        <v>-1.6915989818837338E-2</v>
      </c>
    </row>
    <row r="4" spans="1:12" ht="14.4" x14ac:dyDescent="0.3">
      <c r="A4" s="13">
        <v>45446</v>
      </c>
      <c r="B4" s="14" t="s">
        <v>28</v>
      </c>
      <c r="C4" s="15">
        <v>1472</v>
      </c>
      <c r="D4" s="15">
        <v>296</v>
      </c>
      <c r="E4" s="15">
        <v>370242</v>
      </c>
      <c r="F4" s="16">
        <v>7.72</v>
      </c>
      <c r="G4" s="17">
        <v>7810</v>
      </c>
      <c r="H4" s="18">
        <f t="shared" si="0"/>
        <v>7.7199999999999991E-2</v>
      </c>
      <c r="I4" s="5">
        <f t="shared" si="1"/>
        <v>3.176300905893983E-3</v>
      </c>
      <c r="J4" s="2">
        <f t="shared" si="2"/>
        <v>1176</v>
      </c>
    </row>
    <row r="5" spans="1:12" ht="14.4" x14ac:dyDescent="0.3">
      <c r="A5" s="13">
        <v>45453</v>
      </c>
      <c r="B5" s="14" t="s">
        <v>13</v>
      </c>
      <c r="C5" s="15">
        <v>1018</v>
      </c>
      <c r="D5" s="15">
        <v>90</v>
      </c>
      <c r="E5" s="15">
        <v>92474</v>
      </c>
      <c r="F5" s="16">
        <v>9.4</v>
      </c>
      <c r="G5" s="17">
        <v>11966</v>
      </c>
      <c r="H5" s="18">
        <f t="shared" si="0"/>
        <v>9.4E-2</v>
      </c>
      <c r="I5" s="5">
        <f t="shared" si="1"/>
        <v>1.0035253152237385E-2</v>
      </c>
      <c r="J5" s="2">
        <f t="shared" si="2"/>
        <v>928</v>
      </c>
    </row>
    <row r="6" spans="1:12" ht="14.4" x14ac:dyDescent="0.3">
      <c r="A6" s="13">
        <v>45453</v>
      </c>
      <c r="B6" s="14" t="s">
        <v>22</v>
      </c>
      <c r="C6" s="15">
        <v>1461</v>
      </c>
      <c r="D6" s="15">
        <v>64</v>
      </c>
      <c r="E6" s="15">
        <v>328902</v>
      </c>
      <c r="F6" s="16">
        <v>9.02</v>
      </c>
      <c r="G6" s="17">
        <v>26298</v>
      </c>
      <c r="H6" s="18">
        <f t="shared" si="0"/>
        <v>9.0200000000000002E-2</v>
      </c>
      <c r="I6" s="5">
        <f t="shared" si="1"/>
        <v>4.247465810484582E-3</v>
      </c>
      <c r="J6" s="2">
        <f t="shared" si="2"/>
        <v>1397</v>
      </c>
    </row>
    <row r="7" spans="1:12" ht="14.4" x14ac:dyDescent="0.3">
      <c r="A7" s="13">
        <v>45453</v>
      </c>
      <c r="B7" s="14" t="s">
        <v>28</v>
      </c>
      <c r="C7" s="15">
        <v>545</v>
      </c>
      <c r="D7" s="15">
        <v>93</v>
      </c>
      <c r="E7" s="15">
        <v>391621</v>
      </c>
      <c r="F7" s="16">
        <v>9.9600000000000009</v>
      </c>
      <c r="G7" s="17">
        <v>22029</v>
      </c>
      <c r="H7" s="18">
        <f t="shared" si="0"/>
        <v>9.9600000000000008E-2</v>
      </c>
      <c r="I7" s="5">
        <f t="shared" si="1"/>
        <v>1.1541771253329111E-3</v>
      </c>
      <c r="J7" s="2">
        <f t="shared" si="2"/>
        <v>452</v>
      </c>
    </row>
    <row r="8" spans="1:12" ht="14.4" x14ac:dyDescent="0.3">
      <c r="A8" s="13">
        <v>45460</v>
      </c>
      <c r="B8" s="14" t="s">
        <v>13</v>
      </c>
      <c r="C8" s="15">
        <v>881</v>
      </c>
      <c r="D8" s="15">
        <v>291</v>
      </c>
      <c r="E8" s="15">
        <v>95885</v>
      </c>
      <c r="F8" s="16">
        <v>5.29</v>
      </c>
      <c r="G8" s="17">
        <v>12391</v>
      </c>
      <c r="H8" s="18">
        <f t="shared" si="0"/>
        <v>5.2900000000000003E-2</v>
      </c>
      <c r="I8" s="5">
        <f t="shared" si="1"/>
        <v>6.1532043593888509E-3</v>
      </c>
      <c r="J8" s="2">
        <f t="shared" si="2"/>
        <v>590</v>
      </c>
    </row>
    <row r="9" spans="1:12" ht="14.4" x14ac:dyDescent="0.3">
      <c r="A9" s="13">
        <v>45460</v>
      </c>
      <c r="B9" s="14" t="s">
        <v>22</v>
      </c>
      <c r="C9" s="15">
        <v>1414</v>
      </c>
      <c r="D9" s="15">
        <v>131</v>
      </c>
      <c r="E9" s="15">
        <v>245947</v>
      </c>
      <c r="F9" s="16">
        <v>8.3000000000000007</v>
      </c>
      <c r="G9" s="17">
        <v>14477</v>
      </c>
      <c r="H9" s="18">
        <f t="shared" si="0"/>
        <v>8.3000000000000004E-2</v>
      </c>
      <c r="I9" s="5">
        <f t="shared" si="1"/>
        <v>5.2165710498603361E-3</v>
      </c>
      <c r="J9" s="2">
        <f t="shared" si="2"/>
        <v>1283</v>
      </c>
    </row>
    <row r="10" spans="1:12" ht="14.4" x14ac:dyDescent="0.3">
      <c r="A10" s="13">
        <v>45460</v>
      </c>
      <c r="B10" s="14" t="s">
        <v>28</v>
      </c>
      <c r="C10" s="15">
        <v>1472</v>
      </c>
      <c r="D10" s="15">
        <v>170</v>
      </c>
      <c r="E10" s="15">
        <v>250428</v>
      </c>
      <c r="F10" s="16">
        <v>4.66</v>
      </c>
      <c r="G10" s="17">
        <v>25040</v>
      </c>
      <c r="H10" s="18">
        <f t="shared" si="0"/>
        <v>4.6600000000000003E-2</v>
      </c>
      <c r="I10" s="5">
        <f t="shared" si="1"/>
        <v>5.1990991422684362E-3</v>
      </c>
      <c r="J10" s="2">
        <f t="shared" si="2"/>
        <v>1302</v>
      </c>
    </row>
    <row r="11" spans="1:12" ht="14.4" x14ac:dyDescent="0.3">
      <c r="A11" s="13">
        <v>45467</v>
      </c>
      <c r="B11" s="14" t="s">
        <v>13</v>
      </c>
      <c r="C11" s="15">
        <v>809</v>
      </c>
      <c r="D11" s="15">
        <v>197</v>
      </c>
      <c r="E11" s="15">
        <v>87186</v>
      </c>
      <c r="F11" s="16">
        <v>9.48</v>
      </c>
      <c r="G11" s="17">
        <v>22619</v>
      </c>
      <c r="H11" s="18">
        <f t="shared" si="0"/>
        <v>9.4800000000000009E-2</v>
      </c>
      <c r="I11" s="5">
        <f t="shared" si="1"/>
        <v>7.0194756038813571E-3</v>
      </c>
      <c r="J11" s="2">
        <f t="shared" si="2"/>
        <v>612</v>
      </c>
    </row>
    <row r="12" spans="1:12" ht="14.4" x14ac:dyDescent="0.3">
      <c r="A12" s="13">
        <v>45467</v>
      </c>
      <c r="B12" s="14" t="s">
        <v>22</v>
      </c>
      <c r="C12" s="15">
        <v>1371</v>
      </c>
      <c r="D12" s="15">
        <v>250</v>
      </c>
      <c r="E12" s="15">
        <v>128620</v>
      </c>
      <c r="F12" s="16">
        <v>7.11</v>
      </c>
      <c r="G12" s="17">
        <v>12399</v>
      </c>
      <c r="H12" s="18">
        <f t="shared" si="0"/>
        <v>7.1099999999999997E-2</v>
      </c>
      <c r="I12" s="5">
        <f t="shared" si="1"/>
        <v>8.7155963302752298E-3</v>
      </c>
      <c r="J12" s="2">
        <f t="shared" si="2"/>
        <v>1121</v>
      </c>
    </row>
    <row r="13" spans="1:12" ht="14.4" x14ac:dyDescent="0.3">
      <c r="A13" s="13">
        <v>45467</v>
      </c>
      <c r="B13" s="14" t="s">
        <v>28</v>
      </c>
      <c r="C13" s="15">
        <v>844</v>
      </c>
      <c r="D13" s="15">
        <v>144</v>
      </c>
      <c r="E13" s="15">
        <v>126015</v>
      </c>
      <c r="F13" s="16">
        <v>9.65</v>
      </c>
      <c r="G13" s="17">
        <v>22456</v>
      </c>
      <c r="H13" s="18">
        <f t="shared" si="0"/>
        <v>9.6500000000000002E-2</v>
      </c>
      <c r="I13" s="5">
        <f t="shared" si="1"/>
        <v>5.5548942586200059E-3</v>
      </c>
      <c r="J13" s="2">
        <f t="shared" si="2"/>
        <v>700</v>
      </c>
    </row>
    <row r="14" spans="1:12" ht="14.4" x14ac:dyDescent="0.3">
      <c r="A14" s="13">
        <v>45474</v>
      </c>
      <c r="B14" s="14" t="s">
        <v>13</v>
      </c>
      <c r="C14" s="15">
        <v>786</v>
      </c>
      <c r="D14" s="15">
        <v>72</v>
      </c>
      <c r="E14" s="15">
        <v>178615</v>
      </c>
      <c r="F14" s="16">
        <v>5.43</v>
      </c>
      <c r="G14" s="17">
        <v>19328</v>
      </c>
      <c r="H14" s="18">
        <f t="shared" si="0"/>
        <v>5.4299999999999994E-2</v>
      </c>
      <c r="I14" s="5">
        <f t="shared" si="1"/>
        <v>3.9974246283906723E-3</v>
      </c>
      <c r="J14" s="2">
        <f t="shared" si="2"/>
        <v>714</v>
      </c>
    </row>
    <row r="15" spans="1:12" ht="14.4" x14ac:dyDescent="0.3">
      <c r="A15" s="13">
        <v>45474</v>
      </c>
      <c r="B15" s="14" t="s">
        <v>22</v>
      </c>
      <c r="C15" s="15">
        <v>845</v>
      </c>
      <c r="D15" s="15">
        <v>250</v>
      </c>
      <c r="E15" s="15">
        <v>218228</v>
      </c>
      <c r="F15" s="16">
        <v>4.5199999999999996</v>
      </c>
      <c r="G15" s="17">
        <v>21107</v>
      </c>
      <c r="H15" s="18">
        <f t="shared" si="0"/>
        <v>4.5199999999999997E-2</v>
      </c>
      <c r="I15" s="5">
        <f t="shared" si="1"/>
        <v>2.7265062228494967E-3</v>
      </c>
      <c r="J15" s="2">
        <f t="shared" si="2"/>
        <v>595</v>
      </c>
    </row>
    <row r="16" spans="1:12" ht="14.4" x14ac:dyDescent="0.3">
      <c r="A16" s="13">
        <v>45474</v>
      </c>
      <c r="B16" s="14" t="s">
        <v>28</v>
      </c>
      <c r="C16" s="15">
        <v>1218</v>
      </c>
      <c r="D16" s="15">
        <v>101</v>
      </c>
      <c r="E16" s="15">
        <v>300397</v>
      </c>
      <c r="F16" s="16">
        <v>4.33</v>
      </c>
      <c r="G16" s="17">
        <v>12277</v>
      </c>
      <c r="H16" s="18">
        <f t="shared" si="0"/>
        <v>4.3299999999999998E-2</v>
      </c>
      <c r="I16" s="5">
        <f t="shared" si="1"/>
        <v>3.7184126339477423E-3</v>
      </c>
      <c r="J16" s="2">
        <f t="shared" si="2"/>
        <v>1117</v>
      </c>
    </row>
    <row r="17" spans="1:10" ht="14.4" x14ac:dyDescent="0.3">
      <c r="A17" s="13">
        <v>45481</v>
      </c>
      <c r="B17" s="14" t="s">
        <v>13</v>
      </c>
      <c r="C17" s="15">
        <v>797</v>
      </c>
      <c r="D17" s="15">
        <v>130</v>
      </c>
      <c r="E17" s="15">
        <v>340121</v>
      </c>
      <c r="F17" s="16">
        <v>8.52</v>
      </c>
      <c r="G17" s="17">
        <v>11684</v>
      </c>
      <c r="H17" s="18">
        <f t="shared" si="0"/>
        <v>8.5199999999999998E-2</v>
      </c>
      <c r="I17" s="5">
        <f t="shared" si="1"/>
        <v>1.9610667968164271E-3</v>
      </c>
      <c r="J17" s="2">
        <f t="shared" si="2"/>
        <v>667</v>
      </c>
    </row>
    <row r="18" spans="1:10" ht="14.4" x14ac:dyDescent="0.3">
      <c r="A18" s="13">
        <v>45481</v>
      </c>
      <c r="B18" s="14" t="s">
        <v>22</v>
      </c>
      <c r="C18" s="15">
        <v>1471</v>
      </c>
      <c r="D18" s="15">
        <v>100</v>
      </c>
      <c r="E18" s="15">
        <v>76866</v>
      </c>
      <c r="F18" s="16">
        <v>8.5500000000000007</v>
      </c>
      <c r="G18" s="17">
        <v>14412</v>
      </c>
      <c r="H18" s="18">
        <f t="shared" si="0"/>
        <v>8.5500000000000007E-2</v>
      </c>
      <c r="I18" s="5">
        <f t="shared" si="1"/>
        <v>1.7836234485988603E-2</v>
      </c>
      <c r="J18" s="2">
        <f t="shared" si="2"/>
        <v>1371</v>
      </c>
    </row>
    <row r="19" spans="1:10" ht="14.4" x14ac:dyDescent="0.3">
      <c r="A19" s="13">
        <v>45481</v>
      </c>
      <c r="B19" s="14" t="s">
        <v>28</v>
      </c>
      <c r="C19" s="15">
        <v>1253</v>
      </c>
      <c r="D19" s="15">
        <v>136</v>
      </c>
      <c r="E19" s="15">
        <v>193131</v>
      </c>
      <c r="F19" s="16">
        <v>7.99</v>
      </c>
      <c r="G19" s="17">
        <v>15924</v>
      </c>
      <c r="H19" s="18">
        <f t="shared" si="0"/>
        <v>7.9899999999999999E-2</v>
      </c>
      <c r="I19" s="5">
        <f t="shared" si="1"/>
        <v>5.7836390843520723E-3</v>
      </c>
      <c r="J19" s="2">
        <f t="shared" si="2"/>
        <v>1117</v>
      </c>
    </row>
    <row r="20" spans="1:10" ht="14.4" x14ac:dyDescent="0.3">
      <c r="A20" s="13">
        <v>45488</v>
      </c>
      <c r="B20" s="14" t="s">
        <v>13</v>
      </c>
      <c r="C20" s="15">
        <v>616</v>
      </c>
      <c r="D20" s="15">
        <v>257</v>
      </c>
      <c r="E20" s="15">
        <v>169665</v>
      </c>
      <c r="F20" s="16">
        <v>6.31</v>
      </c>
      <c r="G20" s="17">
        <v>12390</v>
      </c>
      <c r="H20" s="18">
        <f t="shared" si="0"/>
        <v>6.3099999999999989E-2</v>
      </c>
      <c r="I20" s="5">
        <f t="shared" si="1"/>
        <v>2.1159343412017798E-3</v>
      </c>
      <c r="J20" s="2">
        <f t="shared" si="2"/>
        <v>359</v>
      </c>
    </row>
    <row r="21" spans="1:10" ht="15.75" customHeight="1" x14ac:dyDescent="0.3">
      <c r="A21" s="13">
        <v>45488</v>
      </c>
      <c r="B21" s="14" t="s">
        <v>22</v>
      </c>
      <c r="C21" s="15">
        <v>1308</v>
      </c>
      <c r="D21" s="15">
        <v>210</v>
      </c>
      <c r="E21" s="15">
        <v>263729</v>
      </c>
      <c r="F21" s="16">
        <v>8.5299999999999994</v>
      </c>
      <c r="G21" s="17">
        <v>25742</v>
      </c>
      <c r="H21" s="18">
        <f t="shared" si="0"/>
        <v>8.5299999999999987E-2</v>
      </c>
      <c r="I21" s="5">
        <f t="shared" si="1"/>
        <v>4.1633646660018432E-3</v>
      </c>
      <c r="J21" s="2">
        <f t="shared" si="2"/>
        <v>1098</v>
      </c>
    </row>
    <row r="22" spans="1:10" ht="15.75" customHeight="1" x14ac:dyDescent="0.3">
      <c r="A22" s="13">
        <v>45488</v>
      </c>
      <c r="B22" s="14" t="s">
        <v>28</v>
      </c>
      <c r="C22" s="15">
        <v>981</v>
      </c>
      <c r="D22" s="15">
        <v>69</v>
      </c>
      <c r="E22" s="15">
        <v>206921</v>
      </c>
      <c r="F22" s="16">
        <v>8.42</v>
      </c>
      <c r="G22" s="17">
        <v>10495</v>
      </c>
      <c r="H22" s="18">
        <f t="shared" si="0"/>
        <v>8.4199999999999997E-2</v>
      </c>
      <c r="I22" s="5">
        <f t="shared" si="1"/>
        <v>4.4074791828765565E-3</v>
      </c>
      <c r="J22" s="2">
        <f t="shared" si="2"/>
        <v>912</v>
      </c>
    </row>
    <row r="23" spans="1:10" ht="15.75" customHeight="1" x14ac:dyDescent="0.3">
      <c r="A23" s="13">
        <v>45495</v>
      </c>
      <c r="B23" s="14" t="s">
        <v>13</v>
      </c>
      <c r="C23" s="15">
        <v>866</v>
      </c>
      <c r="D23" s="15">
        <v>74</v>
      </c>
      <c r="E23" s="15">
        <v>204121</v>
      </c>
      <c r="F23" s="16">
        <v>9.34</v>
      </c>
      <c r="G23" s="17">
        <v>7797</v>
      </c>
      <c r="H23" s="18">
        <f t="shared" si="0"/>
        <v>9.3399999999999997E-2</v>
      </c>
      <c r="I23" s="5">
        <f t="shared" si="1"/>
        <v>3.8800515380583087E-3</v>
      </c>
      <c r="J23" s="2">
        <f t="shared" si="2"/>
        <v>792</v>
      </c>
    </row>
    <row r="24" spans="1:10" ht="15.75" customHeight="1" x14ac:dyDescent="0.3">
      <c r="A24" s="13">
        <v>45495</v>
      </c>
      <c r="B24" s="14" t="s">
        <v>22</v>
      </c>
      <c r="C24" s="15">
        <v>547</v>
      </c>
      <c r="D24" s="15">
        <v>183</v>
      </c>
      <c r="E24" s="15">
        <v>266350</v>
      </c>
      <c r="F24" s="16">
        <v>5.65</v>
      </c>
      <c r="G24" s="17">
        <v>15595</v>
      </c>
      <c r="H24" s="18">
        <f t="shared" si="0"/>
        <v>5.6500000000000002E-2</v>
      </c>
      <c r="I24" s="5">
        <f t="shared" si="1"/>
        <v>1.3666228646517741E-3</v>
      </c>
      <c r="J24" s="2">
        <f t="shared" si="2"/>
        <v>364</v>
      </c>
    </row>
    <row r="25" spans="1:10" ht="15.75" customHeight="1" x14ac:dyDescent="0.3">
      <c r="A25" s="13">
        <v>45495</v>
      </c>
      <c r="B25" s="14" t="s">
        <v>28</v>
      </c>
      <c r="C25" s="15">
        <v>1241</v>
      </c>
      <c r="D25" s="15">
        <v>116</v>
      </c>
      <c r="E25" s="15">
        <v>380606</v>
      </c>
      <c r="F25" s="16">
        <v>4.2</v>
      </c>
      <c r="G25" s="17">
        <v>24617</v>
      </c>
      <c r="H25" s="18">
        <f t="shared" si="0"/>
        <v>4.2000000000000003E-2</v>
      </c>
      <c r="I25" s="5">
        <f t="shared" si="1"/>
        <v>2.9558125725816196E-3</v>
      </c>
      <c r="J25" s="2">
        <f t="shared" si="2"/>
        <v>1125</v>
      </c>
    </row>
    <row r="26" spans="1:10" ht="15.75" customHeight="1" x14ac:dyDescent="0.3">
      <c r="A26" s="13">
        <v>45502</v>
      </c>
      <c r="B26" s="14" t="s">
        <v>13</v>
      </c>
      <c r="C26" s="15">
        <v>973</v>
      </c>
      <c r="D26" s="15">
        <v>104</v>
      </c>
      <c r="E26" s="15">
        <v>376358</v>
      </c>
      <c r="F26" s="16">
        <v>3.87</v>
      </c>
      <c r="G26" s="17">
        <v>9847</v>
      </c>
      <c r="H26" s="18">
        <f t="shared" si="0"/>
        <v>3.8699999999999998E-2</v>
      </c>
      <c r="I26" s="5">
        <f t="shared" si="1"/>
        <v>2.3089717768720206E-3</v>
      </c>
      <c r="J26" s="2">
        <f t="shared" si="2"/>
        <v>869</v>
      </c>
    </row>
    <row r="27" spans="1:10" ht="15.75" customHeight="1" x14ac:dyDescent="0.3">
      <c r="A27" s="13">
        <v>45502</v>
      </c>
      <c r="B27" s="14" t="s">
        <v>22</v>
      </c>
      <c r="C27" s="15">
        <v>611</v>
      </c>
      <c r="D27" s="15">
        <v>197</v>
      </c>
      <c r="E27" s="15">
        <v>79423</v>
      </c>
      <c r="F27" s="16">
        <v>5.82</v>
      </c>
      <c r="G27" s="17">
        <v>13644</v>
      </c>
      <c r="H27" s="18">
        <f t="shared" si="0"/>
        <v>5.8200000000000002E-2</v>
      </c>
      <c r="I27" s="5">
        <f t="shared" si="1"/>
        <v>5.2125958475504573E-3</v>
      </c>
      <c r="J27" s="2">
        <f t="shared" si="2"/>
        <v>414</v>
      </c>
    </row>
    <row r="28" spans="1:10" ht="15.75" customHeight="1" x14ac:dyDescent="0.3">
      <c r="A28" s="13">
        <v>45502</v>
      </c>
      <c r="B28" s="14" t="s">
        <v>28</v>
      </c>
      <c r="C28" s="15">
        <v>983</v>
      </c>
      <c r="D28" s="15">
        <v>134</v>
      </c>
      <c r="E28" s="15">
        <v>352178</v>
      </c>
      <c r="F28" s="16">
        <v>3.55</v>
      </c>
      <c r="G28" s="17">
        <v>11421</v>
      </c>
      <c r="H28" s="18">
        <f t="shared" si="0"/>
        <v>3.5499999999999997E-2</v>
      </c>
      <c r="I28" s="5">
        <f t="shared" si="1"/>
        <v>2.4107127645679174E-3</v>
      </c>
      <c r="J28" s="2">
        <f t="shared" si="2"/>
        <v>849</v>
      </c>
    </row>
    <row r="29" spans="1:10" ht="15.75" customHeight="1" x14ac:dyDescent="0.3">
      <c r="A29" s="13">
        <v>45509</v>
      </c>
      <c r="B29" s="14" t="s">
        <v>13</v>
      </c>
      <c r="C29" s="15">
        <v>1449</v>
      </c>
      <c r="D29" s="15">
        <v>96</v>
      </c>
      <c r="E29" s="15">
        <v>200636</v>
      </c>
      <c r="F29" s="16">
        <v>9.92</v>
      </c>
      <c r="G29" s="17">
        <v>15613</v>
      </c>
      <c r="H29" s="18">
        <f t="shared" si="0"/>
        <v>9.9199999999999997E-2</v>
      </c>
      <c r="I29" s="5">
        <f t="shared" si="1"/>
        <v>6.7435554935305723E-3</v>
      </c>
      <c r="J29" s="2">
        <f t="shared" si="2"/>
        <v>1353</v>
      </c>
    </row>
    <row r="30" spans="1:10" ht="15.75" customHeight="1" x14ac:dyDescent="0.3">
      <c r="A30" s="13">
        <v>45509</v>
      </c>
      <c r="B30" s="14" t="s">
        <v>22</v>
      </c>
      <c r="C30" s="15">
        <v>752</v>
      </c>
      <c r="D30" s="15">
        <v>170</v>
      </c>
      <c r="E30" s="15">
        <v>132756</v>
      </c>
      <c r="F30" s="16">
        <v>8.17</v>
      </c>
      <c r="G30" s="17">
        <v>23900</v>
      </c>
      <c r="H30" s="18">
        <f t="shared" si="0"/>
        <v>8.1699999999999995E-2</v>
      </c>
      <c r="I30" s="5">
        <f t="shared" si="1"/>
        <v>4.3839826448522105E-3</v>
      </c>
      <c r="J30" s="2">
        <f t="shared" si="2"/>
        <v>582</v>
      </c>
    </row>
    <row r="31" spans="1:10" ht="15.75" customHeight="1" x14ac:dyDescent="0.3">
      <c r="A31" s="13">
        <v>45509</v>
      </c>
      <c r="B31" s="14" t="s">
        <v>28</v>
      </c>
      <c r="C31" s="15">
        <v>937</v>
      </c>
      <c r="D31" s="15">
        <v>179</v>
      </c>
      <c r="E31" s="15">
        <v>318098</v>
      </c>
      <c r="F31" s="16">
        <v>5.3</v>
      </c>
      <c r="G31" s="17">
        <v>5836</v>
      </c>
      <c r="H31" s="18">
        <f t="shared" si="0"/>
        <v>5.2999999999999999E-2</v>
      </c>
      <c r="I31" s="5">
        <f t="shared" si="1"/>
        <v>2.3829134417695176E-3</v>
      </c>
      <c r="J31" s="2">
        <f t="shared" si="2"/>
        <v>758</v>
      </c>
    </row>
    <row r="32" spans="1:10" ht="15.75" customHeight="1" x14ac:dyDescent="0.3">
      <c r="A32" s="13">
        <v>45516</v>
      </c>
      <c r="B32" s="14" t="s">
        <v>13</v>
      </c>
      <c r="C32" s="15">
        <v>1060</v>
      </c>
      <c r="D32" s="15">
        <v>83</v>
      </c>
      <c r="E32" s="15">
        <v>68724</v>
      </c>
      <c r="F32" s="16">
        <v>5.98</v>
      </c>
      <c r="G32" s="17">
        <v>5624</v>
      </c>
      <c r="H32" s="18">
        <f t="shared" si="0"/>
        <v>5.9800000000000006E-2</v>
      </c>
      <c r="I32" s="5">
        <f t="shared" si="1"/>
        <v>1.4216285431581398E-2</v>
      </c>
      <c r="J32" s="2">
        <f t="shared" si="2"/>
        <v>977</v>
      </c>
    </row>
    <row r="33" spans="1:10" ht="15.75" customHeight="1" x14ac:dyDescent="0.3">
      <c r="A33" s="13">
        <v>45516</v>
      </c>
      <c r="B33" s="14" t="s">
        <v>22</v>
      </c>
      <c r="C33" s="15">
        <v>1456</v>
      </c>
      <c r="D33" s="15">
        <v>265</v>
      </c>
      <c r="E33" s="15">
        <v>115505</v>
      </c>
      <c r="F33" s="16">
        <v>7.49</v>
      </c>
      <c r="G33" s="17">
        <v>10311</v>
      </c>
      <c r="H33" s="18">
        <f t="shared" si="0"/>
        <v>7.4900000000000008E-2</v>
      </c>
      <c r="I33" s="5">
        <f t="shared" si="1"/>
        <v>1.031124193757846E-2</v>
      </c>
      <c r="J33" s="2">
        <f t="shared" si="2"/>
        <v>1191</v>
      </c>
    </row>
    <row r="34" spans="1:10" ht="15.75" customHeight="1" x14ac:dyDescent="0.3">
      <c r="A34" s="13">
        <v>45516</v>
      </c>
      <c r="B34" s="14" t="s">
        <v>28</v>
      </c>
      <c r="C34" s="15">
        <v>1109</v>
      </c>
      <c r="D34" s="15">
        <v>205</v>
      </c>
      <c r="E34" s="15">
        <v>276722</v>
      </c>
      <c r="F34" s="16">
        <v>9.3800000000000008</v>
      </c>
      <c r="G34" s="17">
        <v>8274</v>
      </c>
      <c r="H34" s="18">
        <f t="shared" si="0"/>
        <v>9.3800000000000008E-2</v>
      </c>
      <c r="I34" s="5">
        <f t="shared" si="1"/>
        <v>3.2668165162148292E-3</v>
      </c>
      <c r="J34" s="2">
        <f t="shared" si="2"/>
        <v>904</v>
      </c>
    </row>
    <row r="35" spans="1:10" ht="15.75" customHeight="1" x14ac:dyDescent="0.3">
      <c r="A35" s="13">
        <v>45523</v>
      </c>
      <c r="B35" s="14" t="s">
        <v>13</v>
      </c>
      <c r="C35" s="15">
        <v>1002</v>
      </c>
      <c r="D35" s="15">
        <v>93</v>
      </c>
      <c r="E35" s="15">
        <v>353538</v>
      </c>
      <c r="F35" s="16">
        <v>5.84</v>
      </c>
      <c r="G35" s="17">
        <v>6031</v>
      </c>
      <c r="H35" s="18">
        <f t="shared" si="0"/>
        <v>5.8400000000000001E-2</v>
      </c>
      <c r="I35" s="5">
        <f t="shared" si="1"/>
        <v>2.5711521816608116E-3</v>
      </c>
      <c r="J35" s="2">
        <f t="shared" si="2"/>
        <v>909</v>
      </c>
    </row>
    <row r="36" spans="1:10" ht="15.75" customHeight="1" x14ac:dyDescent="0.3">
      <c r="A36" s="13">
        <v>45523</v>
      </c>
      <c r="B36" s="14" t="s">
        <v>22</v>
      </c>
      <c r="C36" s="15">
        <v>571</v>
      </c>
      <c r="D36" s="15">
        <v>189</v>
      </c>
      <c r="E36" s="15">
        <v>61445</v>
      </c>
      <c r="F36" s="16">
        <v>5.41</v>
      </c>
      <c r="G36" s="17">
        <v>27829</v>
      </c>
      <c r="H36" s="18">
        <f t="shared" si="0"/>
        <v>5.4100000000000002E-2</v>
      </c>
      <c r="I36" s="5">
        <f t="shared" si="1"/>
        <v>6.2169419806330862E-3</v>
      </c>
      <c r="J36" s="2">
        <f t="shared" si="2"/>
        <v>382</v>
      </c>
    </row>
    <row r="37" spans="1:10" ht="15.75" customHeight="1" x14ac:dyDescent="0.3">
      <c r="A37" s="13">
        <v>45523</v>
      </c>
      <c r="B37" s="14" t="s">
        <v>28</v>
      </c>
      <c r="C37" s="15">
        <v>1240</v>
      </c>
      <c r="D37" s="15">
        <v>231</v>
      </c>
      <c r="E37" s="15">
        <v>165035</v>
      </c>
      <c r="F37" s="16">
        <v>6.05</v>
      </c>
      <c r="G37" s="17">
        <v>18267</v>
      </c>
      <c r="H37" s="18">
        <f t="shared" si="0"/>
        <v>6.0499999999999998E-2</v>
      </c>
      <c r="I37" s="5">
        <f t="shared" si="1"/>
        <v>6.1138546368952043E-3</v>
      </c>
      <c r="J37" s="2">
        <f t="shared" si="2"/>
        <v>1009</v>
      </c>
    </row>
    <row r="38" spans="1:10" ht="15.75" customHeight="1" x14ac:dyDescent="0.3">
      <c r="A38" s="13">
        <v>45530</v>
      </c>
      <c r="B38" s="14" t="s">
        <v>13</v>
      </c>
      <c r="C38" s="15">
        <v>1154</v>
      </c>
      <c r="D38" s="15">
        <v>132</v>
      </c>
      <c r="E38" s="15">
        <v>194595</v>
      </c>
      <c r="F38" s="16">
        <v>7.54</v>
      </c>
      <c r="G38" s="17">
        <v>26624</v>
      </c>
      <c r="H38" s="18">
        <f t="shared" si="0"/>
        <v>7.5399999999999995E-2</v>
      </c>
      <c r="I38" s="5">
        <f t="shared" si="1"/>
        <v>5.2519335029163131E-3</v>
      </c>
      <c r="J38" s="2">
        <f t="shared" si="2"/>
        <v>1022</v>
      </c>
    </row>
    <row r="39" spans="1:10" ht="15.75" customHeight="1" x14ac:dyDescent="0.3">
      <c r="A39" s="13">
        <v>45530</v>
      </c>
      <c r="B39" s="14" t="s">
        <v>22</v>
      </c>
      <c r="C39" s="15">
        <v>537</v>
      </c>
      <c r="D39" s="15">
        <v>275</v>
      </c>
      <c r="E39" s="15">
        <v>236238</v>
      </c>
      <c r="F39" s="16">
        <v>5.87</v>
      </c>
      <c r="G39" s="17">
        <v>26644</v>
      </c>
      <c r="H39" s="18">
        <f t="shared" si="0"/>
        <v>5.8700000000000002E-2</v>
      </c>
      <c r="I39" s="5">
        <f t="shared" si="1"/>
        <v>1.1090510417460359E-3</v>
      </c>
      <c r="J39" s="2">
        <f t="shared" si="2"/>
        <v>262</v>
      </c>
    </row>
    <row r="40" spans="1:10" ht="15.75" customHeight="1" x14ac:dyDescent="0.3">
      <c r="A40" s="13">
        <v>45530</v>
      </c>
      <c r="B40" s="14" t="s">
        <v>28</v>
      </c>
      <c r="C40" s="15">
        <v>1456</v>
      </c>
      <c r="D40" s="15">
        <v>290</v>
      </c>
      <c r="E40" s="15">
        <v>271044</v>
      </c>
      <c r="F40" s="16">
        <v>7.17</v>
      </c>
      <c r="G40" s="17">
        <v>13051</v>
      </c>
      <c r="H40" s="18">
        <f t="shared" si="0"/>
        <v>7.17E-2</v>
      </c>
      <c r="I40" s="5">
        <f t="shared" si="1"/>
        <v>4.3018845648676966E-3</v>
      </c>
      <c r="J40" s="2">
        <f t="shared" si="2"/>
        <v>1166</v>
      </c>
    </row>
    <row r="41" spans="1:10" ht="15.75" customHeight="1" x14ac:dyDescent="0.3">
      <c r="A41" s="13">
        <v>45537</v>
      </c>
      <c r="B41" s="14" t="s">
        <v>13</v>
      </c>
      <c r="C41" s="15">
        <v>721</v>
      </c>
      <c r="D41" s="15">
        <v>206</v>
      </c>
      <c r="E41" s="15">
        <v>334887</v>
      </c>
      <c r="F41" s="16">
        <v>6.05</v>
      </c>
      <c r="G41" s="17">
        <v>14217</v>
      </c>
      <c r="H41" s="18">
        <f t="shared" si="0"/>
        <v>6.0499999999999998E-2</v>
      </c>
      <c r="I41" s="5">
        <f t="shared" si="1"/>
        <v>1.5378321642822803E-3</v>
      </c>
      <c r="J41" s="2">
        <f t="shared" si="2"/>
        <v>515</v>
      </c>
    </row>
    <row r="42" spans="1:10" ht="15.75" customHeight="1" x14ac:dyDescent="0.3">
      <c r="A42" s="13">
        <v>45537</v>
      </c>
      <c r="B42" s="14" t="s">
        <v>22</v>
      </c>
      <c r="C42" s="15">
        <v>1098</v>
      </c>
      <c r="D42" s="15">
        <v>142</v>
      </c>
      <c r="E42" s="15">
        <v>359150</v>
      </c>
      <c r="F42" s="16">
        <v>7.51</v>
      </c>
      <c r="G42" s="17">
        <v>16385</v>
      </c>
      <c r="H42" s="18">
        <f t="shared" si="0"/>
        <v>7.51E-2</v>
      </c>
      <c r="I42" s="5">
        <f t="shared" si="1"/>
        <v>2.6618404566337186E-3</v>
      </c>
      <c r="J42" s="2">
        <f t="shared" si="2"/>
        <v>956</v>
      </c>
    </row>
    <row r="43" spans="1:10" ht="15.75" customHeight="1" x14ac:dyDescent="0.3">
      <c r="A43" s="13">
        <v>45537</v>
      </c>
      <c r="B43" s="14" t="s">
        <v>28</v>
      </c>
      <c r="C43" s="15">
        <v>1096</v>
      </c>
      <c r="D43" s="15">
        <v>65</v>
      </c>
      <c r="E43" s="15">
        <v>358295</v>
      </c>
      <c r="F43" s="16">
        <v>7.66</v>
      </c>
      <c r="G43" s="17">
        <v>24548</v>
      </c>
      <c r="H43" s="18">
        <f t="shared" si="0"/>
        <v>7.6600000000000001E-2</v>
      </c>
      <c r="I43" s="5">
        <f t="shared" si="1"/>
        <v>2.8775171297394605E-3</v>
      </c>
      <c r="J43" s="2">
        <f t="shared" si="2"/>
        <v>1031</v>
      </c>
    </row>
    <row r="44" spans="1:10" ht="15.75" customHeight="1" x14ac:dyDescent="0.3">
      <c r="A44" s="13">
        <v>45544</v>
      </c>
      <c r="B44" s="14" t="s">
        <v>13</v>
      </c>
      <c r="C44" s="15">
        <v>912</v>
      </c>
      <c r="D44" s="15">
        <v>275</v>
      </c>
      <c r="E44" s="15">
        <v>368454</v>
      </c>
      <c r="F44" s="16">
        <v>6.03</v>
      </c>
      <c r="G44" s="17">
        <v>9195</v>
      </c>
      <c r="H44" s="18">
        <f t="shared" si="0"/>
        <v>6.0299999999999999E-2</v>
      </c>
      <c r="I44" s="5">
        <f t="shared" si="1"/>
        <v>1.7288453918263881E-3</v>
      </c>
      <c r="J44" s="2">
        <f t="shared" si="2"/>
        <v>637</v>
      </c>
    </row>
    <row r="45" spans="1:10" ht="15.75" customHeight="1" x14ac:dyDescent="0.3">
      <c r="A45" s="13">
        <v>45544</v>
      </c>
      <c r="B45" s="14" t="s">
        <v>22</v>
      </c>
      <c r="C45" s="15">
        <v>1430</v>
      </c>
      <c r="D45" s="15">
        <v>162</v>
      </c>
      <c r="E45" s="15">
        <v>269082</v>
      </c>
      <c r="F45" s="16">
        <v>3.4</v>
      </c>
      <c r="G45" s="17">
        <v>18071</v>
      </c>
      <c r="H45" s="18">
        <f t="shared" si="0"/>
        <v>3.4000000000000002E-2</v>
      </c>
      <c r="I45" s="5">
        <f t="shared" si="1"/>
        <v>4.7123181781018424E-3</v>
      </c>
      <c r="J45" s="2">
        <f t="shared" si="2"/>
        <v>1268</v>
      </c>
    </row>
    <row r="46" spans="1:10" ht="15.75" customHeight="1" x14ac:dyDescent="0.3">
      <c r="A46" s="13">
        <v>45544</v>
      </c>
      <c r="B46" s="14" t="s">
        <v>28</v>
      </c>
      <c r="C46" s="15">
        <v>854</v>
      </c>
      <c r="D46" s="15">
        <v>129</v>
      </c>
      <c r="E46" s="15">
        <v>310903</v>
      </c>
      <c r="F46" s="16">
        <v>7.83</v>
      </c>
      <c r="G46" s="17">
        <v>16875</v>
      </c>
      <c r="H46" s="18">
        <f t="shared" si="0"/>
        <v>7.8299999999999995E-2</v>
      </c>
      <c r="I46" s="5">
        <f t="shared" si="1"/>
        <v>2.3319170287838973E-3</v>
      </c>
      <c r="J46" s="2">
        <f t="shared" si="2"/>
        <v>725</v>
      </c>
    </row>
    <row r="47" spans="1:10" ht="15.75" customHeight="1" x14ac:dyDescent="0.3">
      <c r="A47" s="13">
        <v>45551</v>
      </c>
      <c r="B47" s="14" t="s">
        <v>13</v>
      </c>
      <c r="C47" s="15">
        <v>681</v>
      </c>
      <c r="D47" s="15">
        <v>210</v>
      </c>
      <c r="E47" s="15">
        <v>248581</v>
      </c>
      <c r="F47" s="16">
        <v>8.76</v>
      </c>
      <c r="G47" s="17">
        <v>9567</v>
      </c>
      <c r="H47" s="18">
        <f t="shared" si="0"/>
        <v>8.7599999999999997E-2</v>
      </c>
      <c r="I47" s="5">
        <f t="shared" si="1"/>
        <v>1.8947546272643525E-3</v>
      </c>
      <c r="J47" s="2">
        <f t="shared" si="2"/>
        <v>471</v>
      </c>
    </row>
    <row r="48" spans="1:10" ht="15.75" customHeight="1" x14ac:dyDescent="0.3">
      <c r="A48" s="13">
        <v>45551</v>
      </c>
      <c r="B48" s="14" t="s">
        <v>22</v>
      </c>
      <c r="C48" s="15">
        <v>1373</v>
      </c>
      <c r="D48" s="15">
        <v>82</v>
      </c>
      <c r="E48" s="15">
        <v>371015</v>
      </c>
      <c r="F48" s="16">
        <v>9.52</v>
      </c>
      <c r="G48" s="17">
        <v>20306</v>
      </c>
      <c r="H48" s="18">
        <f t="shared" si="0"/>
        <v>9.5199999999999993E-2</v>
      </c>
      <c r="I48" s="5">
        <f t="shared" si="1"/>
        <v>3.4796436801746559E-3</v>
      </c>
      <c r="J48" s="2">
        <f t="shared" si="2"/>
        <v>1291</v>
      </c>
    </row>
    <row r="49" spans="1:10" ht="15.75" customHeight="1" x14ac:dyDescent="0.3">
      <c r="A49" s="13">
        <v>45551</v>
      </c>
      <c r="B49" s="14" t="s">
        <v>28</v>
      </c>
      <c r="C49" s="15">
        <v>685</v>
      </c>
      <c r="D49" s="15">
        <v>285</v>
      </c>
      <c r="E49" s="15">
        <v>177452</v>
      </c>
      <c r="F49" s="16">
        <v>3.36</v>
      </c>
      <c r="G49" s="17">
        <v>21134</v>
      </c>
      <c r="H49" s="18">
        <f t="shared" si="0"/>
        <v>3.3599999999999998E-2</v>
      </c>
      <c r="I49" s="5">
        <f t="shared" si="1"/>
        <v>2.2541306944976669E-3</v>
      </c>
      <c r="J49" s="2">
        <f t="shared" si="2"/>
        <v>400</v>
      </c>
    </row>
    <row r="50" spans="1:10" ht="15.75" customHeight="1" x14ac:dyDescent="0.3">
      <c r="A50" s="13">
        <v>45558</v>
      </c>
      <c r="B50" s="14" t="s">
        <v>13</v>
      </c>
      <c r="C50" s="15">
        <v>1290</v>
      </c>
      <c r="D50" s="15">
        <v>177</v>
      </c>
      <c r="E50" s="15">
        <v>80745</v>
      </c>
      <c r="F50" s="16">
        <v>9.2200000000000006</v>
      </c>
      <c r="G50" s="17">
        <v>26872</v>
      </c>
      <c r="H50" s="18">
        <f t="shared" si="0"/>
        <v>9.2200000000000004E-2</v>
      </c>
      <c r="I50" s="5">
        <f t="shared" si="1"/>
        <v>1.3784135240572171E-2</v>
      </c>
      <c r="J50" s="2">
        <f t="shared" si="2"/>
        <v>1113</v>
      </c>
    </row>
    <row r="51" spans="1:10" ht="15.75" customHeight="1" x14ac:dyDescent="0.3">
      <c r="A51" s="13">
        <v>45558</v>
      </c>
      <c r="B51" s="14" t="s">
        <v>22</v>
      </c>
      <c r="C51" s="15">
        <v>1437</v>
      </c>
      <c r="D51" s="15">
        <v>239</v>
      </c>
      <c r="E51" s="15">
        <v>362441</v>
      </c>
      <c r="F51" s="16">
        <v>5.57</v>
      </c>
      <c r="G51" s="17">
        <v>10253</v>
      </c>
      <c r="H51" s="18">
        <f t="shared" si="0"/>
        <v>5.57E-2</v>
      </c>
      <c r="I51" s="5">
        <f t="shared" si="1"/>
        <v>3.305365562946797E-3</v>
      </c>
      <c r="J51" s="2">
        <f t="shared" si="2"/>
        <v>1198</v>
      </c>
    </row>
    <row r="52" spans="1:10" ht="15.75" customHeight="1" x14ac:dyDescent="0.3">
      <c r="A52" s="13">
        <v>45558</v>
      </c>
      <c r="B52" s="14" t="s">
        <v>28</v>
      </c>
      <c r="C52" s="15">
        <v>769</v>
      </c>
      <c r="D52" s="15">
        <v>295</v>
      </c>
      <c r="E52" s="15">
        <v>344771</v>
      </c>
      <c r="F52" s="16">
        <v>8.06</v>
      </c>
      <c r="G52" s="17">
        <v>23963</v>
      </c>
      <c r="H52" s="18">
        <f t="shared" si="0"/>
        <v>8.0600000000000005E-2</v>
      </c>
      <c r="I52" s="5">
        <f t="shared" si="1"/>
        <v>1.3748256088824177E-3</v>
      </c>
      <c r="J52" s="2">
        <f t="shared" si="2"/>
        <v>474</v>
      </c>
    </row>
    <row r="53" spans="1:10" ht="15.75" customHeight="1" x14ac:dyDescent="0.3">
      <c r="A53" s="13">
        <v>45565</v>
      </c>
      <c r="B53" s="14" t="s">
        <v>13</v>
      </c>
      <c r="C53" s="15">
        <v>1416</v>
      </c>
      <c r="D53" s="15">
        <v>284</v>
      </c>
      <c r="E53" s="15">
        <v>374952</v>
      </c>
      <c r="F53" s="16">
        <v>3.45</v>
      </c>
      <c r="G53" s="17">
        <v>11335</v>
      </c>
      <c r="H53" s="18">
        <f t="shared" si="0"/>
        <v>3.4500000000000003E-2</v>
      </c>
      <c r="I53" s="5">
        <f t="shared" si="1"/>
        <v>3.0190531054641659E-3</v>
      </c>
      <c r="J53" s="2">
        <f t="shared" si="2"/>
        <v>1132</v>
      </c>
    </row>
    <row r="54" spans="1:10" ht="15.75" customHeight="1" x14ac:dyDescent="0.3">
      <c r="A54" s="13">
        <v>45565</v>
      </c>
      <c r="B54" s="14" t="s">
        <v>22</v>
      </c>
      <c r="C54" s="15">
        <v>998</v>
      </c>
      <c r="D54" s="15">
        <v>154</v>
      </c>
      <c r="E54" s="15">
        <v>179781</v>
      </c>
      <c r="F54" s="16">
        <v>9.58</v>
      </c>
      <c r="G54" s="17">
        <v>12115</v>
      </c>
      <c r="H54" s="18">
        <f t="shared" si="0"/>
        <v>9.5799999999999996E-2</v>
      </c>
      <c r="I54" s="5">
        <f t="shared" si="1"/>
        <v>4.6946006530167259E-3</v>
      </c>
      <c r="J54" s="2">
        <f t="shared" si="2"/>
        <v>844</v>
      </c>
    </row>
    <row r="55" spans="1:10" ht="15.75" customHeight="1" x14ac:dyDescent="0.3">
      <c r="A55" s="13">
        <v>45565</v>
      </c>
      <c r="B55" s="14" t="s">
        <v>28</v>
      </c>
      <c r="C55" s="15">
        <v>1421</v>
      </c>
      <c r="D55" s="15">
        <v>246</v>
      </c>
      <c r="E55" s="15">
        <v>358581</v>
      </c>
      <c r="F55" s="16">
        <v>8.8800000000000008</v>
      </c>
      <c r="G55" s="17">
        <v>24358</v>
      </c>
      <c r="H55" s="18">
        <f t="shared" si="0"/>
        <v>8.8800000000000004E-2</v>
      </c>
      <c r="I55" s="5">
        <f t="shared" si="1"/>
        <v>3.2768049617799048E-3</v>
      </c>
      <c r="J55" s="2">
        <f t="shared" si="2"/>
        <v>1175</v>
      </c>
    </row>
    <row r="56" spans="1:10" ht="15.75" customHeight="1" x14ac:dyDescent="0.3">
      <c r="A56" s="13">
        <v>45572</v>
      </c>
      <c r="B56" s="14" t="s">
        <v>13</v>
      </c>
      <c r="C56" s="15">
        <v>764</v>
      </c>
      <c r="D56" s="15">
        <v>205</v>
      </c>
      <c r="E56" s="15">
        <v>319294</v>
      </c>
      <c r="F56" s="16">
        <v>6.23</v>
      </c>
      <c r="G56" s="17">
        <v>12181</v>
      </c>
      <c r="H56" s="18">
        <f t="shared" si="0"/>
        <v>6.2300000000000001E-2</v>
      </c>
      <c r="I56" s="5">
        <f t="shared" si="1"/>
        <v>1.7507375647522346E-3</v>
      </c>
      <c r="J56" s="2">
        <f t="shared" si="2"/>
        <v>559</v>
      </c>
    </row>
    <row r="57" spans="1:10" ht="15.75" customHeight="1" x14ac:dyDescent="0.3">
      <c r="A57" s="13">
        <v>45572</v>
      </c>
      <c r="B57" s="14" t="s">
        <v>22</v>
      </c>
      <c r="C57" s="15">
        <v>678</v>
      </c>
      <c r="D57" s="15">
        <v>124</v>
      </c>
      <c r="E57" s="15">
        <v>192022</v>
      </c>
      <c r="F57" s="16">
        <v>8.4499999999999993</v>
      </c>
      <c r="G57" s="17">
        <v>17729</v>
      </c>
      <c r="H57" s="18">
        <f t="shared" si="0"/>
        <v>8.4499999999999992E-2</v>
      </c>
      <c r="I57" s="5">
        <f t="shared" si="1"/>
        <v>2.8850860838862216E-3</v>
      </c>
      <c r="J57" s="2">
        <f t="shared" si="2"/>
        <v>554</v>
      </c>
    </row>
    <row r="58" spans="1:10" ht="15.75" customHeight="1" x14ac:dyDescent="0.3">
      <c r="A58" s="13">
        <v>45572</v>
      </c>
      <c r="B58" s="14" t="s">
        <v>28</v>
      </c>
      <c r="C58" s="15">
        <v>1328</v>
      </c>
      <c r="D58" s="15">
        <v>103</v>
      </c>
      <c r="E58" s="15">
        <v>151462</v>
      </c>
      <c r="F58" s="16">
        <v>8.4</v>
      </c>
      <c r="G58" s="17">
        <v>10881</v>
      </c>
      <c r="H58" s="18">
        <f t="shared" si="0"/>
        <v>8.4000000000000005E-2</v>
      </c>
      <c r="I58" s="5">
        <f t="shared" si="1"/>
        <v>8.0878372132944243E-3</v>
      </c>
      <c r="J58" s="2">
        <f t="shared" si="2"/>
        <v>1225</v>
      </c>
    </row>
    <row r="59" spans="1:10" ht="15.75" customHeight="1" x14ac:dyDescent="0.3">
      <c r="A59" s="13">
        <v>45579</v>
      </c>
      <c r="B59" s="14" t="s">
        <v>13</v>
      </c>
      <c r="C59" s="15">
        <v>1161</v>
      </c>
      <c r="D59" s="15">
        <v>269</v>
      </c>
      <c r="E59" s="15">
        <v>188193</v>
      </c>
      <c r="F59" s="16">
        <v>7.34</v>
      </c>
      <c r="G59" s="17">
        <v>18576</v>
      </c>
      <c r="H59" s="18">
        <f t="shared" si="0"/>
        <v>7.3399999999999993E-2</v>
      </c>
      <c r="I59" s="5">
        <f t="shared" si="1"/>
        <v>4.7398149771776844E-3</v>
      </c>
      <c r="J59" s="2">
        <f t="shared" si="2"/>
        <v>892</v>
      </c>
    </row>
    <row r="60" spans="1:10" ht="15.75" customHeight="1" x14ac:dyDescent="0.3">
      <c r="A60" s="13">
        <v>45579</v>
      </c>
      <c r="B60" s="14" t="s">
        <v>22</v>
      </c>
      <c r="C60" s="15">
        <v>588</v>
      </c>
      <c r="D60" s="15">
        <v>52</v>
      </c>
      <c r="E60" s="15">
        <v>292040</v>
      </c>
      <c r="F60" s="16">
        <v>8.14</v>
      </c>
      <c r="G60" s="17">
        <v>9383</v>
      </c>
      <c r="H60" s="18">
        <f t="shared" si="0"/>
        <v>8.14E-2</v>
      </c>
      <c r="I60" s="5">
        <f t="shared" si="1"/>
        <v>1.8353650184906177E-3</v>
      </c>
      <c r="J60" s="2">
        <f t="shared" si="2"/>
        <v>536</v>
      </c>
    </row>
    <row r="61" spans="1:10" ht="15.75" customHeight="1" x14ac:dyDescent="0.3">
      <c r="A61" s="13">
        <v>45579</v>
      </c>
      <c r="B61" s="14" t="s">
        <v>28</v>
      </c>
      <c r="C61" s="15">
        <v>1457</v>
      </c>
      <c r="D61" s="15">
        <v>215</v>
      </c>
      <c r="E61" s="15">
        <v>325325</v>
      </c>
      <c r="F61" s="16">
        <v>9.58</v>
      </c>
      <c r="G61" s="17">
        <v>14178</v>
      </c>
      <c r="H61" s="18">
        <f t="shared" si="0"/>
        <v>9.5799999999999996E-2</v>
      </c>
      <c r="I61" s="5">
        <f t="shared" si="1"/>
        <v>3.8177207407976638E-3</v>
      </c>
      <c r="J61" s="2">
        <f t="shared" si="2"/>
        <v>1242</v>
      </c>
    </row>
    <row r="62" spans="1:10" ht="15.75" customHeight="1" x14ac:dyDescent="0.3">
      <c r="A62" s="13">
        <v>45586</v>
      </c>
      <c r="B62" s="14" t="s">
        <v>13</v>
      </c>
      <c r="C62" s="15">
        <v>1190</v>
      </c>
      <c r="D62" s="15">
        <v>242</v>
      </c>
      <c r="E62" s="15">
        <v>86849</v>
      </c>
      <c r="F62" s="16">
        <v>8.06</v>
      </c>
      <c r="G62" s="17">
        <v>21254</v>
      </c>
      <c r="H62" s="18">
        <f t="shared" si="0"/>
        <v>8.0600000000000005E-2</v>
      </c>
      <c r="I62" s="5">
        <f t="shared" si="1"/>
        <v>1.0915497012055407E-2</v>
      </c>
      <c r="J62" s="2">
        <f t="shared" si="2"/>
        <v>948</v>
      </c>
    </row>
    <row r="63" spans="1:10" ht="15.75" customHeight="1" x14ac:dyDescent="0.3">
      <c r="A63" s="13">
        <v>45586</v>
      </c>
      <c r="B63" s="14" t="s">
        <v>22</v>
      </c>
      <c r="C63" s="15">
        <v>886</v>
      </c>
      <c r="D63" s="15">
        <v>124</v>
      </c>
      <c r="E63" s="15">
        <v>141161</v>
      </c>
      <c r="F63" s="16">
        <v>8.19</v>
      </c>
      <c r="G63" s="17">
        <v>14215</v>
      </c>
      <c r="H63" s="18">
        <f t="shared" si="0"/>
        <v>8.1900000000000001E-2</v>
      </c>
      <c r="I63" s="5">
        <f t="shared" si="1"/>
        <v>5.3980915408646862E-3</v>
      </c>
      <c r="J63" s="2">
        <f t="shared" si="2"/>
        <v>762</v>
      </c>
    </row>
    <row r="64" spans="1:10" ht="15.75" customHeight="1" x14ac:dyDescent="0.3">
      <c r="A64" s="13">
        <v>45586</v>
      </c>
      <c r="B64" s="14" t="s">
        <v>28</v>
      </c>
      <c r="C64" s="15">
        <v>1237</v>
      </c>
      <c r="D64" s="15">
        <v>155</v>
      </c>
      <c r="E64" s="15">
        <v>149916</v>
      </c>
      <c r="F64" s="16">
        <v>4.4800000000000004</v>
      </c>
      <c r="G64" s="17">
        <v>16921</v>
      </c>
      <c r="H64" s="18">
        <f t="shared" si="0"/>
        <v>4.4800000000000006E-2</v>
      </c>
      <c r="I64" s="5">
        <f t="shared" si="1"/>
        <v>7.2173750633688196E-3</v>
      </c>
      <c r="J64" s="2">
        <f t="shared" si="2"/>
        <v>1082</v>
      </c>
    </row>
    <row r="65" spans="1:10" ht="15.75" customHeight="1" x14ac:dyDescent="0.3">
      <c r="A65" s="13">
        <v>45593</v>
      </c>
      <c r="B65" s="14" t="s">
        <v>13</v>
      </c>
      <c r="C65" s="15">
        <v>1435</v>
      </c>
      <c r="D65" s="15">
        <v>261</v>
      </c>
      <c r="E65" s="15">
        <v>308533</v>
      </c>
      <c r="F65" s="16">
        <v>4.5199999999999996</v>
      </c>
      <c r="G65" s="17">
        <v>25130</v>
      </c>
      <c r="H65" s="18">
        <f t="shared" si="0"/>
        <v>4.5199999999999997E-2</v>
      </c>
      <c r="I65" s="5">
        <f t="shared" si="1"/>
        <v>3.8051035059458792E-3</v>
      </c>
      <c r="J65" s="2">
        <f t="shared" si="2"/>
        <v>1174</v>
      </c>
    </row>
    <row r="66" spans="1:10" ht="15.75" customHeight="1" x14ac:dyDescent="0.3">
      <c r="A66" s="13">
        <v>45593</v>
      </c>
      <c r="B66" s="14" t="s">
        <v>22</v>
      </c>
      <c r="C66" s="15">
        <v>746</v>
      </c>
      <c r="D66" s="15">
        <v>282</v>
      </c>
      <c r="E66" s="15">
        <v>293894</v>
      </c>
      <c r="F66" s="16">
        <v>5.42</v>
      </c>
      <c r="G66" s="17">
        <v>25537</v>
      </c>
      <c r="H66" s="18">
        <f t="shared" si="0"/>
        <v>5.4199999999999998E-2</v>
      </c>
      <c r="I66" s="5">
        <f t="shared" si="1"/>
        <v>1.5788005199153436E-3</v>
      </c>
      <c r="J66" s="2">
        <f t="shared" si="2"/>
        <v>464</v>
      </c>
    </row>
    <row r="67" spans="1:10" ht="15.75" customHeight="1" x14ac:dyDescent="0.3">
      <c r="A67" s="13">
        <v>45593</v>
      </c>
      <c r="B67" s="14" t="s">
        <v>28</v>
      </c>
      <c r="C67" s="15">
        <v>759</v>
      </c>
      <c r="D67" s="15">
        <v>216</v>
      </c>
      <c r="E67" s="15">
        <v>147656</v>
      </c>
      <c r="F67" s="16">
        <v>4.08</v>
      </c>
      <c r="G67" s="17">
        <v>24943</v>
      </c>
      <c r="H67" s="18">
        <f t="shared" ref="H67:H130" si="3">F67/100</f>
        <v>4.0800000000000003E-2</v>
      </c>
      <c r="I67" s="5">
        <f t="shared" ref="I67:I130" si="4">(C67-D67)/E67</f>
        <v>3.6774665438586984E-3</v>
      </c>
      <c r="J67" s="2">
        <f t="shared" ref="J67:J130" si="5">C67-D67</f>
        <v>543</v>
      </c>
    </row>
    <row r="68" spans="1:10" ht="15.75" customHeight="1" x14ac:dyDescent="0.3">
      <c r="A68" s="13">
        <v>45600</v>
      </c>
      <c r="B68" s="14" t="s">
        <v>13</v>
      </c>
      <c r="C68" s="15">
        <v>1437</v>
      </c>
      <c r="D68" s="15">
        <v>235</v>
      </c>
      <c r="E68" s="15">
        <v>326791</v>
      </c>
      <c r="F68" s="16">
        <v>4.0599999999999996</v>
      </c>
      <c r="G68" s="17">
        <v>14563</v>
      </c>
      <c r="H68" s="18">
        <f t="shared" si="3"/>
        <v>4.0599999999999997E-2</v>
      </c>
      <c r="I68" s="5">
        <f t="shared" si="4"/>
        <v>3.6781918718691762E-3</v>
      </c>
      <c r="J68" s="2">
        <f t="shared" si="5"/>
        <v>1202</v>
      </c>
    </row>
    <row r="69" spans="1:10" ht="15.75" customHeight="1" x14ac:dyDescent="0.3">
      <c r="A69" s="13">
        <v>45600</v>
      </c>
      <c r="B69" s="14" t="s">
        <v>22</v>
      </c>
      <c r="C69" s="15">
        <v>1463</v>
      </c>
      <c r="D69" s="15">
        <v>73</v>
      </c>
      <c r="E69" s="15">
        <v>348877</v>
      </c>
      <c r="F69" s="16">
        <v>9.91</v>
      </c>
      <c r="G69" s="17">
        <v>26273</v>
      </c>
      <c r="H69" s="18">
        <f t="shared" si="3"/>
        <v>9.9100000000000008E-2</v>
      </c>
      <c r="I69" s="5">
        <f t="shared" si="4"/>
        <v>3.9842122008616216E-3</v>
      </c>
      <c r="J69" s="2">
        <f t="shared" si="5"/>
        <v>1390</v>
      </c>
    </row>
    <row r="70" spans="1:10" ht="15.75" customHeight="1" x14ac:dyDescent="0.3">
      <c r="A70" s="13">
        <v>45600</v>
      </c>
      <c r="B70" s="14" t="s">
        <v>28</v>
      </c>
      <c r="C70" s="15">
        <v>1208</v>
      </c>
      <c r="D70" s="15">
        <v>224</v>
      </c>
      <c r="E70" s="15">
        <v>122730</v>
      </c>
      <c r="F70" s="16">
        <v>8.7200000000000006</v>
      </c>
      <c r="G70" s="17">
        <v>10858</v>
      </c>
      <c r="H70" s="18">
        <f t="shared" si="3"/>
        <v>8.72E-2</v>
      </c>
      <c r="I70" s="5">
        <f t="shared" si="4"/>
        <v>8.0175996088975802E-3</v>
      </c>
      <c r="J70" s="2">
        <f t="shared" si="5"/>
        <v>984</v>
      </c>
    </row>
    <row r="71" spans="1:10" ht="15.75" customHeight="1" x14ac:dyDescent="0.3">
      <c r="A71" s="13">
        <v>45607</v>
      </c>
      <c r="B71" s="14" t="s">
        <v>13</v>
      </c>
      <c r="C71" s="15">
        <v>1391</v>
      </c>
      <c r="D71" s="15">
        <v>187</v>
      </c>
      <c r="E71" s="15">
        <v>306508</v>
      </c>
      <c r="F71" s="16">
        <v>8.3800000000000008</v>
      </c>
      <c r="G71" s="17">
        <v>25038</v>
      </c>
      <c r="H71" s="18">
        <f t="shared" si="3"/>
        <v>8.3800000000000013E-2</v>
      </c>
      <c r="I71" s="5">
        <f t="shared" si="4"/>
        <v>3.9281193313061976E-3</v>
      </c>
      <c r="J71" s="2">
        <f t="shared" si="5"/>
        <v>1204</v>
      </c>
    </row>
    <row r="72" spans="1:10" ht="15.75" customHeight="1" x14ac:dyDescent="0.3">
      <c r="A72" s="13">
        <v>45607</v>
      </c>
      <c r="B72" s="14" t="s">
        <v>22</v>
      </c>
      <c r="C72" s="15">
        <v>655</v>
      </c>
      <c r="D72" s="15">
        <v>123</v>
      </c>
      <c r="E72" s="15">
        <v>202472</v>
      </c>
      <c r="F72" s="16">
        <v>7.56</v>
      </c>
      <c r="G72" s="17">
        <v>9092</v>
      </c>
      <c r="H72" s="18">
        <f t="shared" si="3"/>
        <v>7.5600000000000001E-2</v>
      </c>
      <c r="I72" s="5">
        <f t="shared" si="4"/>
        <v>2.6275238057607967E-3</v>
      </c>
      <c r="J72" s="2">
        <f t="shared" si="5"/>
        <v>532</v>
      </c>
    </row>
    <row r="73" spans="1:10" ht="15.75" customHeight="1" x14ac:dyDescent="0.3">
      <c r="A73" s="13">
        <v>45607</v>
      </c>
      <c r="B73" s="14" t="s">
        <v>28</v>
      </c>
      <c r="C73" s="15">
        <v>1148</v>
      </c>
      <c r="D73" s="15">
        <v>90</v>
      </c>
      <c r="E73" s="15">
        <v>227249</v>
      </c>
      <c r="F73" s="16">
        <v>7.24</v>
      </c>
      <c r="G73" s="17">
        <v>17662</v>
      </c>
      <c r="H73" s="18">
        <f t="shared" si="3"/>
        <v>7.2400000000000006E-2</v>
      </c>
      <c r="I73" s="5">
        <f t="shared" si="4"/>
        <v>4.6556860536239985E-3</v>
      </c>
      <c r="J73" s="2">
        <f t="shared" si="5"/>
        <v>1058</v>
      </c>
    </row>
    <row r="74" spans="1:10" ht="15.75" customHeight="1" x14ac:dyDescent="0.3">
      <c r="A74" s="13">
        <v>45614</v>
      </c>
      <c r="B74" s="14" t="s">
        <v>13</v>
      </c>
      <c r="C74" s="15">
        <v>946</v>
      </c>
      <c r="D74" s="15">
        <v>270</v>
      </c>
      <c r="E74" s="15">
        <v>246567</v>
      </c>
      <c r="F74" s="16">
        <v>4.53</v>
      </c>
      <c r="G74" s="17">
        <v>5924</v>
      </c>
      <c r="H74" s="18">
        <f t="shared" si="3"/>
        <v>4.53E-2</v>
      </c>
      <c r="I74" s="5">
        <f t="shared" si="4"/>
        <v>2.741648314656868E-3</v>
      </c>
      <c r="J74" s="2">
        <f t="shared" si="5"/>
        <v>676</v>
      </c>
    </row>
    <row r="75" spans="1:10" ht="15.75" customHeight="1" x14ac:dyDescent="0.3">
      <c r="A75" s="13">
        <v>45614</v>
      </c>
      <c r="B75" s="14" t="s">
        <v>22</v>
      </c>
      <c r="C75" s="15">
        <v>791</v>
      </c>
      <c r="D75" s="15">
        <v>214</v>
      </c>
      <c r="E75" s="15">
        <v>114738</v>
      </c>
      <c r="F75" s="16">
        <v>6.62</v>
      </c>
      <c r="G75" s="17">
        <v>25347</v>
      </c>
      <c r="H75" s="18">
        <f t="shared" si="3"/>
        <v>6.6199999999999995E-2</v>
      </c>
      <c r="I75" s="5">
        <f t="shared" si="4"/>
        <v>5.0288483327232481E-3</v>
      </c>
      <c r="J75" s="2">
        <f t="shared" si="5"/>
        <v>577</v>
      </c>
    </row>
    <row r="76" spans="1:10" ht="15.75" customHeight="1" x14ac:dyDescent="0.3">
      <c r="A76" s="13">
        <v>45614</v>
      </c>
      <c r="B76" s="14" t="s">
        <v>28</v>
      </c>
      <c r="C76" s="15">
        <v>793</v>
      </c>
      <c r="D76" s="15">
        <v>111</v>
      </c>
      <c r="E76" s="15">
        <v>333500</v>
      </c>
      <c r="F76" s="16">
        <v>6.36</v>
      </c>
      <c r="G76" s="17">
        <v>8910</v>
      </c>
      <c r="H76" s="18">
        <f t="shared" si="3"/>
        <v>6.3600000000000004E-2</v>
      </c>
      <c r="I76" s="5">
        <f t="shared" si="4"/>
        <v>2.0449775112443779E-3</v>
      </c>
      <c r="J76" s="2">
        <f t="shared" si="5"/>
        <v>682</v>
      </c>
    </row>
    <row r="77" spans="1:10" ht="15.75" customHeight="1" x14ac:dyDescent="0.3">
      <c r="A77" s="13">
        <v>45621</v>
      </c>
      <c r="B77" s="14" t="s">
        <v>13</v>
      </c>
      <c r="C77" s="15">
        <v>663</v>
      </c>
      <c r="D77" s="15">
        <v>213</v>
      </c>
      <c r="E77" s="15">
        <v>352677</v>
      </c>
      <c r="F77" s="16">
        <v>9</v>
      </c>
      <c r="G77" s="17">
        <v>20438</v>
      </c>
      <c r="H77" s="18">
        <f t="shared" si="3"/>
        <v>0.09</v>
      </c>
      <c r="I77" s="5">
        <f t="shared" si="4"/>
        <v>1.2759550523566889E-3</v>
      </c>
      <c r="J77" s="2">
        <f t="shared" si="5"/>
        <v>450</v>
      </c>
    </row>
    <row r="78" spans="1:10" ht="15.75" customHeight="1" x14ac:dyDescent="0.3">
      <c r="A78" s="13">
        <v>45621</v>
      </c>
      <c r="B78" s="14" t="s">
        <v>22</v>
      </c>
      <c r="C78" s="15">
        <v>954</v>
      </c>
      <c r="D78" s="15">
        <v>271</v>
      </c>
      <c r="E78" s="15">
        <v>160936</v>
      </c>
      <c r="F78" s="16">
        <v>8.83</v>
      </c>
      <c r="G78" s="17">
        <v>8760</v>
      </c>
      <c r="H78" s="18">
        <f t="shared" si="3"/>
        <v>8.8300000000000003E-2</v>
      </c>
      <c r="I78" s="5">
        <f t="shared" si="4"/>
        <v>4.2439230501565839E-3</v>
      </c>
      <c r="J78" s="2">
        <f t="shared" si="5"/>
        <v>683</v>
      </c>
    </row>
    <row r="79" spans="1:10" ht="15.75" customHeight="1" x14ac:dyDescent="0.3">
      <c r="A79" s="13">
        <v>45621</v>
      </c>
      <c r="B79" s="14" t="s">
        <v>28</v>
      </c>
      <c r="C79" s="15">
        <v>1313</v>
      </c>
      <c r="D79" s="15">
        <v>159</v>
      </c>
      <c r="E79" s="15">
        <v>197183</v>
      </c>
      <c r="F79" s="16">
        <v>9.7100000000000009</v>
      </c>
      <c r="G79" s="17">
        <v>6625</v>
      </c>
      <c r="H79" s="18">
        <f t="shared" si="3"/>
        <v>9.7100000000000006E-2</v>
      </c>
      <c r="I79" s="5">
        <f t="shared" si="4"/>
        <v>5.8524314976443207E-3</v>
      </c>
      <c r="J79" s="2">
        <f t="shared" si="5"/>
        <v>1154</v>
      </c>
    </row>
    <row r="80" spans="1:10" ht="15.75" customHeight="1" x14ac:dyDescent="0.3">
      <c r="A80" s="13">
        <v>45628</v>
      </c>
      <c r="B80" s="14" t="s">
        <v>13</v>
      </c>
      <c r="C80" s="15">
        <v>895</v>
      </c>
      <c r="D80" s="15">
        <v>87</v>
      </c>
      <c r="E80" s="15">
        <v>171271</v>
      </c>
      <c r="F80" s="16">
        <v>6.68</v>
      </c>
      <c r="G80" s="17">
        <v>23329</v>
      </c>
      <c r="H80" s="18">
        <f t="shared" si="3"/>
        <v>6.6799999999999998E-2</v>
      </c>
      <c r="I80" s="5">
        <f t="shared" si="4"/>
        <v>4.7176696580273365E-3</v>
      </c>
      <c r="J80" s="2">
        <f t="shared" si="5"/>
        <v>808</v>
      </c>
    </row>
    <row r="81" spans="1:10" ht="15.75" customHeight="1" x14ac:dyDescent="0.3">
      <c r="A81" s="13">
        <v>45628</v>
      </c>
      <c r="B81" s="14" t="s">
        <v>22</v>
      </c>
      <c r="C81" s="15">
        <v>1027</v>
      </c>
      <c r="D81" s="15">
        <v>156</v>
      </c>
      <c r="E81" s="15">
        <v>111293</v>
      </c>
      <c r="F81" s="16">
        <v>5.51</v>
      </c>
      <c r="G81" s="17">
        <v>7299</v>
      </c>
      <c r="H81" s="18">
        <f t="shared" si="3"/>
        <v>5.5099999999999996E-2</v>
      </c>
      <c r="I81" s="5">
        <f t="shared" si="4"/>
        <v>7.8261885293774095E-3</v>
      </c>
      <c r="J81" s="2">
        <f t="shared" si="5"/>
        <v>871</v>
      </c>
    </row>
    <row r="82" spans="1:10" ht="15.75" customHeight="1" x14ac:dyDescent="0.3">
      <c r="A82" s="13">
        <v>45628</v>
      </c>
      <c r="B82" s="14" t="s">
        <v>28</v>
      </c>
      <c r="C82" s="15">
        <v>990</v>
      </c>
      <c r="D82" s="15">
        <v>286</v>
      </c>
      <c r="E82" s="15">
        <v>351493</v>
      </c>
      <c r="F82" s="16">
        <v>7.97</v>
      </c>
      <c r="G82" s="17">
        <v>14496</v>
      </c>
      <c r="H82" s="18">
        <f t="shared" si="3"/>
        <v>7.9699999999999993E-2</v>
      </c>
      <c r="I82" s="5">
        <f t="shared" si="4"/>
        <v>2.0028848369668811E-3</v>
      </c>
      <c r="J82" s="2">
        <f t="shared" si="5"/>
        <v>704</v>
      </c>
    </row>
    <row r="83" spans="1:10" ht="15.75" customHeight="1" x14ac:dyDescent="0.3">
      <c r="A83" s="13">
        <v>45635</v>
      </c>
      <c r="B83" s="14" t="s">
        <v>13</v>
      </c>
      <c r="C83" s="15">
        <v>875</v>
      </c>
      <c r="D83" s="15">
        <v>264</v>
      </c>
      <c r="E83" s="15">
        <v>345631</v>
      </c>
      <c r="F83" s="16">
        <v>9.18</v>
      </c>
      <c r="G83" s="17">
        <v>25703</v>
      </c>
      <c r="H83" s="18">
        <f t="shared" si="3"/>
        <v>9.1799999999999993E-2</v>
      </c>
      <c r="I83" s="5">
        <f t="shared" si="4"/>
        <v>1.7677812464738406E-3</v>
      </c>
      <c r="J83" s="2">
        <f t="shared" si="5"/>
        <v>611</v>
      </c>
    </row>
    <row r="84" spans="1:10" ht="15.75" customHeight="1" x14ac:dyDescent="0.3">
      <c r="A84" s="13">
        <v>45635</v>
      </c>
      <c r="B84" s="14" t="s">
        <v>22</v>
      </c>
      <c r="C84" s="15">
        <v>599</v>
      </c>
      <c r="D84" s="15">
        <v>194</v>
      </c>
      <c r="E84" s="15">
        <v>105622</v>
      </c>
      <c r="F84" s="16">
        <v>6.44</v>
      </c>
      <c r="G84" s="17">
        <v>15108</v>
      </c>
      <c r="H84" s="18">
        <f t="shared" si="3"/>
        <v>6.4399999999999999E-2</v>
      </c>
      <c r="I84" s="5">
        <f t="shared" si="4"/>
        <v>3.8344284334702996E-3</v>
      </c>
      <c r="J84" s="2">
        <f t="shared" si="5"/>
        <v>405</v>
      </c>
    </row>
    <row r="85" spans="1:10" ht="15.75" customHeight="1" x14ac:dyDescent="0.3">
      <c r="A85" s="13">
        <v>45635</v>
      </c>
      <c r="B85" s="14" t="s">
        <v>28</v>
      </c>
      <c r="C85" s="15">
        <v>630</v>
      </c>
      <c r="D85" s="15">
        <v>248</v>
      </c>
      <c r="E85" s="15">
        <v>119054</v>
      </c>
      <c r="F85" s="16">
        <v>5.0199999999999996</v>
      </c>
      <c r="G85" s="17">
        <v>18867</v>
      </c>
      <c r="H85" s="18">
        <f t="shared" si="3"/>
        <v>5.0199999999999995E-2</v>
      </c>
      <c r="I85" s="5">
        <f t="shared" si="4"/>
        <v>3.2086280175382597E-3</v>
      </c>
      <c r="J85" s="2">
        <f t="shared" si="5"/>
        <v>382</v>
      </c>
    </row>
    <row r="86" spans="1:10" ht="15.75" customHeight="1" x14ac:dyDescent="0.3">
      <c r="A86" s="13">
        <v>45642</v>
      </c>
      <c r="B86" s="14" t="s">
        <v>13</v>
      </c>
      <c r="C86" s="15">
        <v>1350</v>
      </c>
      <c r="D86" s="15">
        <v>233</v>
      </c>
      <c r="E86" s="15">
        <v>171670</v>
      </c>
      <c r="F86" s="16">
        <v>4.53</v>
      </c>
      <c r="G86" s="17">
        <v>17574</v>
      </c>
      <c r="H86" s="18">
        <f t="shared" si="3"/>
        <v>4.53E-2</v>
      </c>
      <c r="I86" s="5">
        <f t="shared" si="4"/>
        <v>6.506669773402458E-3</v>
      </c>
      <c r="J86" s="2">
        <f t="shared" si="5"/>
        <v>1117</v>
      </c>
    </row>
    <row r="87" spans="1:10" ht="15.75" customHeight="1" x14ac:dyDescent="0.3">
      <c r="A87" s="13">
        <v>45642</v>
      </c>
      <c r="B87" s="14" t="s">
        <v>22</v>
      </c>
      <c r="C87" s="15">
        <v>632</v>
      </c>
      <c r="D87" s="15">
        <v>155</v>
      </c>
      <c r="E87" s="15">
        <v>170432</v>
      </c>
      <c r="F87" s="16">
        <v>9.17</v>
      </c>
      <c r="G87" s="17">
        <v>12840</v>
      </c>
      <c r="H87" s="18">
        <f t="shared" si="3"/>
        <v>9.1700000000000004E-2</v>
      </c>
      <c r="I87" s="5">
        <f t="shared" si="4"/>
        <v>2.7987701840030041E-3</v>
      </c>
      <c r="J87" s="2">
        <f t="shared" si="5"/>
        <v>477</v>
      </c>
    </row>
    <row r="88" spans="1:10" ht="15.75" customHeight="1" x14ac:dyDescent="0.3">
      <c r="A88" s="13">
        <v>45642</v>
      </c>
      <c r="B88" s="14" t="s">
        <v>28</v>
      </c>
      <c r="C88" s="15">
        <v>1182</v>
      </c>
      <c r="D88" s="15">
        <v>83</v>
      </c>
      <c r="E88" s="15">
        <v>140300</v>
      </c>
      <c r="F88" s="16">
        <v>3.27</v>
      </c>
      <c r="G88" s="17">
        <v>21079</v>
      </c>
      <c r="H88" s="18">
        <f t="shared" si="3"/>
        <v>3.27E-2</v>
      </c>
      <c r="I88" s="5">
        <f t="shared" si="4"/>
        <v>7.8332145402708487E-3</v>
      </c>
      <c r="J88" s="2">
        <f t="shared" si="5"/>
        <v>1099</v>
      </c>
    </row>
    <row r="89" spans="1:10" ht="15.75" customHeight="1" x14ac:dyDescent="0.3">
      <c r="A89" s="13">
        <v>45649</v>
      </c>
      <c r="B89" s="14" t="s">
        <v>13</v>
      </c>
      <c r="C89" s="15">
        <v>661</v>
      </c>
      <c r="D89" s="15">
        <v>94</v>
      </c>
      <c r="E89" s="15">
        <v>116538</v>
      </c>
      <c r="F89" s="16">
        <v>5.31</v>
      </c>
      <c r="G89" s="17">
        <v>23486</v>
      </c>
      <c r="H89" s="18">
        <f t="shared" si="3"/>
        <v>5.3099999999999994E-2</v>
      </c>
      <c r="I89" s="5">
        <f t="shared" si="4"/>
        <v>4.8653658034289241E-3</v>
      </c>
      <c r="J89" s="2">
        <f t="shared" si="5"/>
        <v>567</v>
      </c>
    </row>
    <row r="90" spans="1:10" ht="15.75" customHeight="1" x14ac:dyDescent="0.3">
      <c r="A90" s="13">
        <v>45649</v>
      </c>
      <c r="B90" s="14" t="s">
        <v>22</v>
      </c>
      <c r="C90" s="15">
        <v>1360</v>
      </c>
      <c r="D90" s="15">
        <v>227</v>
      </c>
      <c r="E90" s="15">
        <v>176902</v>
      </c>
      <c r="F90" s="16">
        <v>6.03</v>
      </c>
      <c r="G90" s="17">
        <v>5960</v>
      </c>
      <c r="H90" s="18">
        <f t="shared" si="3"/>
        <v>6.0299999999999999E-2</v>
      </c>
      <c r="I90" s="5">
        <f t="shared" si="4"/>
        <v>6.4046760353189906E-3</v>
      </c>
      <c r="J90" s="2">
        <f t="shared" si="5"/>
        <v>1133</v>
      </c>
    </row>
    <row r="91" spans="1:10" ht="15.75" customHeight="1" x14ac:dyDescent="0.3">
      <c r="A91" s="13">
        <v>45649</v>
      </c>
      <c r="B91" s="14" t="s">
        <v>28</v>
      </c>
      <c r="C91" s="15">
        <v>935</v>
      </c>
      <c r="D91" s="15">
        <v>85</v>
      </c>
      <c r="E91" s="15">
        <v>326821</v>
      </c>
      <c r="F91" s="16">
        <v>8.89</v>
      </c>
      <c r="G91" s="17">
        <v>13301</v>
      </c>
      <c r="H91" s="18">
        <f t="shared" si="3"/>
        <v>8.8900000000000007E-2</v>
      </c>
      <c r="I91" s="5">
        <f t="shared" si="4"/>
        <v>2.60081206532016E-3</v>
      </c>
      <c r="J91" s="2">
        <f t="shared" si="5"/>
        <v>850</v>
      </c>
    </row>
    <row r="92" spans="1:10" ht="15.75" customHeight="1" x14ac:dyDescent="0.3">
      <c r="A92" s="13">
        <v>45656</v>
      </c>
      <c r="B92" s="14" t="s">
        <v>13</v>
      </c>
      <c r="C92" s="15">
        <v>664</v>
      </c>
      <c r="D92" s="15">
        <v>251</v>
      </c>
      <c r="E92" s="15">
        <v>240598</v>
      </c>
      <c r="F92" s="16">
        <v>4.79</v>
      </c>
      <c r="G92" s="17">
        <v>10563</v>
      </c>
      <c r="H92" s="18">
        <f t="shared" si="3"/>
        <v>4.7899999999999998E-2</v>
      </c>
      <c r="I92" s="5">
        <f t="shared" si="4"/>
        <v>1.7165562473503519E-3</v>
      </c>
      <c r="J92" s="2">
        <f t="shared" si="5"/>
        <v>413</v>
      </c>
    </row>
    <row r="93" spans="1:10" ht="15.75" customHeight="1" x14ac:dyDescent="0.3">
      <c r="A93" s="13">
        <v>45656</v>
      </c>
      <c r="B93" s="14" t="s">
        <v>22</v>
      </c>
      <c r="C93" s="15">
        <v>1490</v>
      </c>
      <c r="D93" s="15">
        <v>103</v>
      </c>
      <c r="E93" s="15">
        <v>373274</v>
      </c>
      <c r="F93" s="16">
        <v>4.8</v>
      </c>
      <c r="G93" s="17">
        <v>19949</v>
      </c>
      <c r="H93" s="18">
        <f t="shared" si="3"/>
        <v>4.8000000000000001E-2</v>
      </c>
      <c r="I93" s="5">
        <f t="shared" si="4"/>
        <v>3.7157691133055076E-3</v>
      </c>
      <c r="J93" s="2">
        <f t="shared" si="5"/>
        <v>1387</v>
      </c>
    </row>
    <row r="94" spans="1:10" ht="15.75" customHeight="1" x14ac:dyDescent="0.3">
      <c r="A94" s="13">
        <v>45656</v>
      </c>
      <c r="B94" s="14" t="s">
        <v>28</v>
      </c>
      <c r="C94" s="15">
        <v>601</v>
      </c>
      <c r="D94" s="15">
        <v>64</v>
      </c>
      <c r="E94" s="15">
        <v>123272</v>
      </c>
      <c r="F94" s="16">
        <v>4.07</v>
      </c>
      <c r="G94" s="17">
        <v>14273</v>
      </c>
      <c r="H94" s="18">
        <f t="shared" si="3"/>
        <v>4.07E-2</v>
      </c>
      <c r="I94" s="5">
        <f t="shared" si="4"/>
        <v>4.3562203906807708E-3</v>
      </c>
      <c r="J94" s="2">
        <f t="shared" si="5"/>
        <v>537</v>
      </c>
    </row>
    <row r="95" spans="1:10" ht="15.75" customHeight="1" x14ac:dyDescent="0.3">
      <c r="A95" s="13">
        <v>45663</v>
      </c>
      <c r="B95" s="14" t="s">
        <v>13</v>
      </c>
      <c r="C95" s="15">
        <v>613</v>
      </c>
      <c r="D95" s="15">
        <v>170</v>
      </c>
      <c r="E95" s="15">
        <v>139266</v>
      </c>
      <c r="F95" s="16">
        <v>6.06</v>
      </c>
      <c r="G95" s="17">
        <v>9247</v>
      </c>
      <c r="H95" s="18">
        <f t="shared" si="3"/>
        <v>6.0599999999999994E-2</v>
      </c>
      <c r="I95" s="5">
        <f t="shared" si="4"/>
        <v>3.1809630491290049E-3</v>
      </c>
      <c r="J95" s="2">
        <f t="shared" si="5"/>
        <v>443</v>
      </c>
    </row>
    <row r="96" spans="1:10" ht="15.75" customHeight="1" x14ac:dyDescent="0.3">
      <c r="A96" s="13">
        <v>45663</v>
      </c>
      <c r="B96" s="14" t="s">
        <v>22</v>
      </c>
      <c r="C96" s="15">
        <v>1340</v>
      </c>
      <c r="D96" s="15">
        <v>57</v>
      </c>
      <c r="E96" s="15">
        <v>155927</v>
      </c>
      <c r="F96" s="16">
        <v>7.79</v>
      </c>
      <c r="G96" s="17">
        <v>11972</v>
      </c>
      <c r="H96" s="18">
        <f t="shared" si="3"/>
        <v>7.7899999999999997E-2</v>
      </c>
      <c r="I96" s="5">
        <f t="shared" si="4"/>
        <v>8.2282093543773697E-3</v>
      </c>
      <c r="J96" s="2">
        <f t="shared" si="5"/>
        <v>1283</v>
      </c>
    </row>
    <row r="97" spans="1:10" ht="15.75" customHeight="1" x14ac:dyDescent="0.3">
      <c r="A97" s="13">
        <v>45663</v>
      </c>
      <c r="B97" s="14" t="s">
        <v>28</v>
      </c>
      <c r="C97" s="15">
        <v>953</v>
      </c>
      <c r="D97" s="15">
        <v>228</v>
      </c>
      <c r="E97" s="15">
        <v>258398</v>
      </c>
      <c r="F97" s="16">
        <v>9.0500000000000007</v>
      </c>
      <c r="G97" s="17">
        <v>13314</v>
      </c>
      <c r="H97" s="18">
        <f t="shared" si="3"/>
        <v>9.0500000000000011E-2</v>
      </c>
      <c r="I97" s="5">
        <f t="shared" si="4"/>
        <v>2.8057492705051896E-3</v>
      </c>
      <c r="J97" s="2">
        <f t="shared" si="5"/>
        <v>725</v>
      </c>
    </row>
    <row r="98" spans="1:10" ht="15.75" customHeight="1" x14ac:dyDescent="0.3">
      <c r="A98" s="13">
        <v>45670</v>
      </c>
      <c r="B98" s="14" t="s">
        <v>13</v>
      </c>
      <c r="C98" s="15">
        <v>532</v>
      </c>
      <c r="D98" s="15">
        <v>65</v>
      </c>
      <c r="E98" s="15">
        <v>338561</v>
      </c>
      <c r="F98" s="16">
        <v>3.5</v>
      </c>
      <c r="G98" s="17">
        <v>14749</v>
      </c>
      <c r="H98" s="18">
        <f t="shared" si="3"/>
        <v>3.5000000000000003E-2</v>
      </c>
      <c r="I98" s="5">
        <f t="shared" si="4"/>
        <v>1.3793673813581599E-3</v>
      </c>
      <c r="J98" s="2">
        <f t="shared" si="5"/>
        <v>467</v>
      </c>
    </row>
    <row r="99" spans="1:10" ht="15.75" customHeight="1" x14ac:dyDescent="0.3">
      <c r="A99" s="13">
        <v>45670</v>
      </c>
      <c r="B99" s="14" t="s">
        <v>22</v>
      </c>
      <c r="C99" s="15">
        <v>1414</v>
      </c>
      <c r="D99" s="15">
        <v>60</v>
      </c>
      <c r="E99" s="15">
        <v>341856</v>
      </c>
      <c r="F99" s="16">
        <v>8.76</v>
      </c>
      <c r="G99" s="17">
        <v>6868</v>
      </c>
      <c r="H99" s="18">
        <f t="shared" si="3"/>
        <v>8.7599999999999997E-2</v>
      </c>
      <c r="I99" s="5">
        <f t="shared" si="4"/>
        <v>3.960732004118693E-3</v>
      </c>
      <c r="J99" s="2">
        <f t="shared" si="5"/>
        <v>1354</v>
      </c>
    </row>
    <row r="100" spans="1:10" ht="15.75" customHeight="1" x14ac:dyDescent="0.3">
      <c r="A100" s="13">
        <v>45670</v>
      </c>
      <c r="B100" s="14" t="s">
        <v>28</v>
      </c>
      <c r="C100" s="15">
        <v>685</v>
      </c>
      <c r="D100" s="15">
        <v>165</v>
      </c>
      <c r="E100" s="15">
        <v>175860</v>
      </c>
      <c r="F100" s="16">
        <v>6.26</v>
      </c>
      <c r="G100" s="17">
        <v>6027</v>
      </c>
      <c r="H100" s="18">
        <f t="shared" si="3"/>
        <v>6.2600000000000003E-2</v>
      </c>
      <c r="I100" s="5">
        <f t="shared" si="4"/>
        <v>2.9568975321278288E-3</v>
      </c>
      <c r="J100" s="2">
        <f t="shared" si="5"/>
        <v>520</v>
      </c>
    </row>
    <row r="101" spans="1:10" ht="15.75" customHeight="1" x14ac:dyDescent="0.3">
      <c r="A101" s="13">
        <v>45677</v>
      </c>
      <c r="B101" s="14" t="s">
        <v>13</v>
      </c>
      <c r="C101" s="15">
        <v>601</v>
      </c>
      <c r="D101" s="15">
        <v>159</v>
      </c>
      <c r="E101" s="15">
        <v>327722</v>
      </c>
      <c r="F101" s="16">
        <v>3.33</v>
      </c>
      <c r="G101" s="17">
        <v>25267</v>
      </c>
      <c r="H101" s="18">
        <f t="shared" si="3"/>
        <v>3.3300000000000003E-2</v>
      </c>
      <c r="I101" s="5">
        <f t="shared" si="4"/>
        <v>1.3487040845594743E-3</v>
      </c>
      <c r="J101" s="2">
        <f t="shared" si="5"/>
        <v>442</v>
      </c>
    </row>
    <row r="102" spans="1:10" ht="15.75" customHeight="1" x14ac:dyDescent="0.3">
      <c r="A102" s="13">
        <v>45677</v>
      </c>
      <c r="B102" s="14" t="s">
        <v>22</v>
      </c>
      <c r="C102" s="15">
        <v>841</v>
      </c>
      <c r="D102" s="15">
        <v>295</v>
      </c>
      <c r="E102" s="15">
        <v>271638</v>
      </c>
      <c r="F102" s="16">
        <v>9.15</v>
      </c>
      <c r="G102" s="17">
        <v>5900</v>
      </c>
      <c r="H102" s="18">
        <f t="shared" si="3"/>
        <v>9.1499999999999998E-2</v>
      </c>
      <c r="I102" s="5">
        <f t="shared" si="4"/>
        <v>2.0100280520398473E-3</v>
      </c>
      <c r="J102" s="2">
        <f t="shared" si="5"/>
        <v>546</v>
      </c>
    </row>
    <row r="103" spans="1:10" ht="15.75" customHeight="1" x14ac:dyDescent="0.3">
      <c r="A103" s="13">
        <v>45677</v>
      </c>
      <c r="B103" s="14" t="s">
        <v>28</v>
      </c>
      <c r="C103" s="15">
        <v>1105</v>
      </c>
      <c r="D103" s="15">
        <v>261</v>
      </c>
      <c r="E103" s="15">
        <v>333851</v>
      </c>
      <c r="F103" s="16">
        <v>6.03</v>
      </c>
      <c r="G103" s="17">
        <v>11181</v>
      </c>
      <c r="H103" s="18">
        <f t="shared" si="3"/>
        <v>6.0299999999999999E-2</v>
      </c>
      <c r="I103" s="5">
        <f t="shared" si="4"/>
        <v>2.5280739012313877E-3</v>
      </c>
      <c r="J103" s="2">
        <f t="shared" si="5"/>
        <v>844</v>
      </c>
    </row>
    <row r="104" spans="1:10" ht="15.75" customHeight="1" x14ac:dyDescent="0.3">
      <c r="A104" s="13">
        <v>45684</v>
      </c>
      <c r="B104" s="14" t="s">
        <v>13</v>
      </c>
      <c r="C104" s="15">
        <v>566</v>
      </c>
      <c r="D104" s="15">
        <v>225</v>
      </c>
      <c r="E104" s="15">
        <v>368984</v>
      </c>
      <c r="F104" s="16">
        <v>9.82</v>
      </c>
      <c r="G104" s="17">
        <v>9592</v>
      </c>
      <c r="H104" s="18">
        <f t="shared" si="3"/>
        <v>9.820000000000001E-2</v>
      </c>
      <c r="I104" s="5">
        <f t="shared" si="4"/>
        <v>9.2415931314094918E-4</v>
      </c>
      <c r="J104" s="2">
        <f t="shared" si="5"/>
        <v>341</v>
      </c>
    </row>
    <row r="105" spans="1:10" ht="15.75" customHeight="1" x14ac:dyDescent="0.3">
      <c r="A105" s="13">
        <v>45684</v>
      </c>
      <c r="B105" s="14" t="s">
        <v>22</v>
      </c>
      <c r="C105" s="15">
        <v>1149</v>
      </c>
      <c r="D105" s="15">
        <v>280</v>
      </c>
      <c r="E105" s="15">
        <v>167310</v>
      </c>
      <c r="F105" s="16">
        <v>3.7</v>
      </c>
      <c r="G105" s="17">
        <v>5291</v>
      </c>
      <c r="H105" s="18">
        <f t="shared" si="3"/>
        <v>3.7000000000000005E-2</v>
      </c>
      <c r="I105" s="5">
        <f t="shared" si="4"/>
        <v>5.1939513477975013E-3</v>
      </c>
      <c r="J105" s="2">
        <f t="shared" si="5"/>
        <v>869</v>
      </c>
    </row>
    <row r="106" spans="1:10" ht="15.75" customHeight="1" x14ac:dyDescent="0.3">
      <c r="A106" s="13">
        <v>45684</v>
      </c>
      <c r="B106" s="14" t="s">
        <v>28</v>
      </c>
      <c r="C106" s="15">
        <v>819</v>
      </c>
      <c r="D106" s="15">
        <v>101</v>
      </c>
      <c r="E106" s="15">
        <v>194811</v>
      </c>
      <c r="F106" s="16">
        <v>3.35</v>
      </c>
      <c r="G106" s="17">
        <v>22244</v>
      </c>
      <c r="H106" s="18">
        <f t="shared" si="3"/>
        <v>3.3500000000000002E-2</v>
      </c>
      <c r="I106" s="5">
        <f t="shared" si="4"/>
        <v>3.685623501752981E-3</v>
      </c>
      <c r="J106" s="2">
        <f t="shared" si="5"/>
        <v>718</v>
      </c>
    </row>
    <row r="107" spans="1:10" ht="15.75" customHeight="1" x14ac:dyDescent="0.3">
      <c r="A107" s="13">
        <v>45691</v>
      </c>
      <c r="B107" s="14" t="s">
        <v>13</v>
      </c>
      <c r="C107" s="15">
        <v>795</v>
      </c>
      <c r="D107" s="15">
        <v>60</v>
      </c>
      <c r="E107" s="15">
        <v>314982</v>
      </c>
      <c r="F107" s="16">
        <v>7.31</v>
      </c>
      <c r="G107" s="17">
        <v>6824</v>
      </c>
      <c r="H107" s="18">
        <f t="shared" si="3"/>
        <v>7.3099999999999998E-2</v>
      </c>
      <c r="I107" s="5">
        <f t="shared" si="4"/>
        <v>2.3334666742861497E-3</v>
      </c>
      <c r="J107" s="2">
        <f t="shared" si="5"/>
        <v>735</v>
      </c>
    </row>
    <row r="108" spans="1:10" ht="15.75" customHeight="1" x14ac:dyDescent="0.3">
      <c r="A108" s="13">
        <v>45691</v>
      </c>
      <c r="B108" s="14" t="s">
        <v>22</v>
      </c>
      <c r="C108" s="15">
        <v>681</v>
      </c>
      <c r="D108" s="15">
        <v>158</v>
      </c>
      <c r="E108" s="15">
        <v>75960</v>
      </c>
      <c r="F108" s="16">
        <v>3.13</v>
      </c>
      <c r="G108" s="17">
        <v>24112</v>
      </c>
      <c r="H108" s="18">
        <f t="shared" si="3"/>
        <v>3.1300000000000001E-2</v>
      </c>
      <c r="I108" s="5">
        <f t="shared" si="4"/>
        <v>6.8852027382833069E-3</v>
      </c>
      <c r="J108" s="2">
        <f t="shared" si="5"/>
        <v>523</v>
      </c>
    </row>
    <row r="109" spans="1:10" ht="15.75" customHeight="1" x14ac:dyDescent="0.3">
      <c r="A109" s="13">
        <v>45691</v>
      </c>
      <c r="B109" s="14" t="s">
        <v>28</v>
      </c>
      <c r="C109" s="15">
        <v>534</v>
      </c>
      <c r="D109" s="15">
        <v>112</v>
      </c>
      <c r="E109" s="15">
        <v>360759</v>
      </c>
      <c r="F109" s="16">
        <v>4.8899999999999997</v>
      </c>
      <c r="G109" s="17">
        <v>25478</v>
      </c>
      <c r="H109" s="18">
        <f t="shared" si="3"/>
        <v>4.8899999999999999E-2</v>
      </c>
      <c r="I109" s="5">
        <f t="shared" si="4"/>
        <v>1.1697559866836308E-3</v>
      </c>
      <c r="J109" s="2">
        <f t="shared" si="5"/>
        <v>422</v>
      </c>
    </row>
    <row r="110" spans="1:10" ht="15.75" customHeight="1" x14ac:dyDescent="0.3">
      <c r="A110" s="13">
        <v>45698</v>
      </c>
      <c r="B110" s="14" t="s">
        <v>13</v>
      </c>
      <c r="C110" s="15">
        <v>1066</v>
      </c>
      <c r="D110" s="15">
        <v>151</v>
      </c>
      <c r="E110" s="15">
        <v>297090</v>
      </c>
      <c r="F110" s="16">
        <v>8.6300000000000008</v>
      </c>
      <c r="G110" s="17">
        <v>11235</v>
      </c>
      <c r="H110" s="18">
        <f t="shared" si="3"/>
        <v>8.6300000000000002E-2</v>
      </c>
      <c r="I110" s="5">
        <f t="shared" si="4"/>
        <v>3.0798747854185599E-3</v>
      </c>
      <c r="J110" s="2">
        <f t="shared" si="5"/>
        <v>915</v>
      </c>
    </row>
    <row r="111" spans="1:10" ht="15.75" customHeight="1" x14ac:dyDescent="0.3">
      <c r="A111" s="13">
        <v>45698</v>
      </c>
      <c r="B111" s="14" t="s">
        <v>22</v>
      </c>
      <c r="C111" s="15">
        <v>1270</v>
      </c>
      <c r="D111" s="15">
        <v>162</v>
      </c>
      <c r="E111" s="15">
        <v>92040</v>
      </c>
      <c r="F111" s="16">
        <v>8.0299999999999994</v>
      </c>
      <c r="G111" s="17">
        <v>6120</v>
      </c>
      <c r="H111" s="18">
        <f t="shared" si="3"/>
        <v>8.0299999999999996E-2</v>
      </c>
      <c r="I111" s="5">
        <f t="shared" si="4"/>
        <v>1.2038244241634072E-2</v>
      </c>
      <c r="J111" s="2">
        <f t="shared" si="5"/>
        <v>1108</v>
      </c>
    </row>
    <row r="112" spans="1:10" ht="15.75" customHeight="1" x14ac:dyDescent="0.3">
      <c r="A112" s="13">
        <v>45698</v>
      </c>
      <c r="B112" s="14" t="s">
        <v>28</v>
      </c>
      <c r="C112" s="15">
        <v>536</v>
      </c>
      <c r="D112" s="15">
        <v>198</v>
      </c>
      <c r="E112" s="15">
        <v>174610</v>
      </c>
      <c r="F112" s="16">
        <v>7.85</v>
      </c>
      <c r="G112" s="17">
        <v>20572</v>
      </c>
      <c r="H112" s="18">
        <f t="shared" si="3"/>
        <v>7.85E-2</v>
      </c>
      <c r="I112" s="5">
        <f t="shared" si="4"/>
        <v>1.9357425118836263E-3</v>
      </c>
      <c r="J112" s="2">
        <f t="shared" si="5"/>
        <v>338</v>
      </c>
    </row>
    <row r="113" spans="1:10" ht="15.75" customHeight="1" x14ac:dyDescent="0.3">
      <c r="A113" s="13">
        <v>45705</v>
      </c>
      <c r="B113" s="14" t="s">
        <v>13</v>
      </c>
      <c r="C113" s="15">
        <v>819</v>
      </c>
      <c r="D113" s="15">
        <v>95</v>
      </c>
      <c r="E113" s="15">
        <v>177376</v>
      </c>
      <c r="F113" s="16">
        <v>6.12</v>
      </c>
      <c r="G113" s="17">
        <v>14975</v>
      </c>
      <c r="H113" s="18">
        <f t="shared" si="3"/>
        <v>6.1200000000000004E-2</v>
      </c>
      <c r="I113" s="5">
        <f t="shared" si="4"/>
        <v>4.0817246978170664E-3</v>
      </c>
      <c r="J113" s="2">
        <f t="shared" si="5"/>
        <v>724</v>
      </c>
    </row>
    <row r="114" spans="1:10" ht="15.75" customHeight="1" x14ac:dyDescent="0.3">
      <c r="A114" s="13">
        <v>45705</v>
      </c>
      <c r="B114" s="14" t="s">
        <v>22</v>
      </c>
      <c r="C114" s="15">
        <v>681</v>
      </c>
      <c r="D114" s="15">
        <v>218</v>
      </c>
      <c r="E114" s="15">
        <v>198882</v>
      </c>
      <c r="F114" s="16">
        <v>7.16</v>
      </c>
      <c r="G114" s="17">
        <v>22234</v>
      </c>
      <c r="H114" s="18">
        <f t="shared" si="3"/>
        <v>7.1599999999999997E-2</v>
      </c>
      <c r="I114" s="5">
        <f t="shared" si="4"/>
        <v>2.3280135960016494E-3</v>
      </c>
      <c r="J114" s="2">
        <f t="shared" si="5"/>
        <v>463</v>
      </c>
    </row>
    <row r="115" spans="1:10" ht="15.75" customHeight="1" x14ac:dyDescent="0.3">
      <c r="A115" s="13">
        <v>45705</v>
      </c>
      <c r="B115" s="14" t="s">
        <v>28</v>
      </c>
      <c r="C115" s="15">
        <v>646</v>
      </c>
      <c r="D115" s="15">
        <v>290</v>
      </c>
      <c r="E115" s="15">
        <v>336383</v>
      </c>
      <c r="F115" s="16">
        <v>7.04</v>
      </c>
      <c r="G115" s="17">
        <v>6532</v>
      </c>
      <c r="H115" s="18">
        <f t="shared" si="3"/>
        <v>7.0400000000000004E-2</v>
      </c>
      <c r="I115" s="5">
        <f t="shared" si="4"/>
        <v>1.0583174536168594E-3</v>
      </c>
      <c r="J115" s="2">
        <f t="shared" si="5"/>
        <v>356</v>
      </c>
    </row>
    <row r="116" spans="1:10" ht="15.75" customHeight="1" x14ac:dyDescent="0.3">
      <c r="A116" s="13">
        <v>45712</v>
      </c>
      <c r="B116" s="14" t="s">
        <v>13</v>
      </c>
      <c r="C116" s="15">
        <v>645</v>
      </c>
      <c r="D116" s="15">
        <v>267</v>
      </c>
      <c r="E116" s="15">
        <v>346890</v>
      </c>
      <c r="F116" s="16">
        <v>3.71</v>
      </c>
      <c r="G116" s="17">
        <v>24858</v>
      </c>
      <c r="H116" s="18">
        <f t="shared" si="3"/>
        <v>3.7100000000000001E-2</v>
      </c>
      <c r="I116" s="5">
        <f t="shared" si="4"/>
        <v>1.0896826083196401E-3</v>
      </c>
      <c r="J116" s="2">
        <f t="shared" si="5"/>
        <v>378</v>
      </c>
    </row>
    <row r="117" spans="1:10" ht="15.75" customHeight="1" x14ac:dyDescent="0.3">
      <c r="A117" s="13">
        <v>45712</v>
      </c>
      <c r="B117" s="14" t="s">
        <v>22</v>
      </c>
      <c r="C117" s="15">
        <v>886</v>
      </c>
      <c r="D117" s="15">
        <v>250</v>
      </c>
      <c r="E117" s="15">
        <v>168170</v>
      </c>
      <c r="F117" s="16">
        <v>4.12</v>
      </c>
      <c r="G117" s="17">
        <v>13883</v>
      </c>
      <c r="H117" s="18">
        <f t="shared" si="3"/>
        <v>4.1200000000000001E-2</v>
      </c>
      <c r="I117" s="5">
        <f t="shared" si="4"/>
        <v>3.7818873758696555E-3</v>
      </c>
      <c r="J117" s="2">
        <f t="shared" si="5"/>
        <v>636</v>
      </c>
    </row>
    <row r="118" spans="1:10" ht="15.75" customHeight="1" x14ac:dyDescent="0.3">
      <c r="A118" s="13">
        <v>45712</v>
      </c>
      <c r="B118" s="14" t="s">
        <v>28</v>
      </c>
      <c r="C118" s="15">
        <v>978</v>
      </c>
      <c r="D118" s="15">
        <v>279</v>
      </c>
      <c r="E118" s="15">
        <v>368872</v>
      </c>
      <c r="F118" s="16">
        <v>6.82</v>
      </c>
      <c r="G118" s="17">
        <v>18654</v>
      </c>
      <c r="H118" s="18">
        <f t="shared" si="3"/>
        <v>6.8199999999999997E-2</v>
      </c>
      <c r="I118" s="5">
        <f t="shared" si="4"/>
        <v>1.8949662755644234E-3</v>
      </c>
      <c r="J118" s="2">
        <f t="shared" si="5"/>
        <v>699</v>
      </c>
    </row>
    <row r="119" spans="1:10" ht="15.75" customHeight="1" x14ac:dyDescent="0.3">
      <c r="A119" s="13">
        <v>45719</v>
      </c>
      <c r="B119" s="14" t="s">
        <v>13</v>
      </c>
      <c r="C119" s="15">
        <v>1444</v>
      </c>
      <c r="D119" s="15">
        <v>165</v>
      </c>
      <c r="E119" s="15">
        <v>116436</v>
      </c>
      <c r="F119" s="16">
        <v>8.2200000000000006</v>
      </c>
      <c r="G119" s="17">
        <v>25234</v>
      </c>
      <c r="H119" s="18">
        <f t="shared" si="3"/>
        <v>8.2200000000000009E-2</v>
      </c>
      <c r="I119" s="5">
        <f t="shared" si="4"/>
        <v>1.0984575217286749E-2</v>
      </c>
      <c r="J119" s="2">
        <f t="shared" si="5"/>
        <v>1279</v>
      </c>
    </row>
    <row r="120" spans="1:10" ht="15.75" customHeight="1" x14ac:dyDescent="0.3">
      <c r="A120" s="13">
        <v>45719</v>
      </c>
      <c r="B120" s="14" t="s">
        <v>22</v>
      </c>
      <c r="C120" s="15">
        <v>1234</v>
      </c>
      <c r="D120" s="15">
        <v>228</v>
      </c>
      <c r="E120" s="15">
        <v>127502</v>
      </c>
      <c r="F120" s="16">
        <v>7.71</v>
      </c>
      <c r="G120" s="17">
        <v>6772</v>
      </c>
      <c r="H120" s="18">
        <f t="shared" si="3"/>
        <v>7.7100000000000002E-2</v>
      </c>
      <c r="I120" s="5">
        <f t="shared" si="4"/>
        <v>7.8900723125911749E-3</v>
      </c>
      <c r="J120" s="2">
        <f t="shared" si="5"/>
        <v>1006</v>
      </c>
    </row>
    <row r="121" spans="1:10" ht="15.75" customHeight="1" x14ac:dyDescent="0.3">
      <c r="A121" s="13">
        <v>45719</v>
      </c>
      <c r="B121" s="14" t="s">
        <v>28</v>
      </c>
      <c r="C121" s="15">
        <v>665</v>
      </c>
      <c r="D121" s="15">
        <v>187</v>
      </c>
      <c r="E121" s="15">
        <v>274567</v>
      </c>
      <c r="F121" s="16">
        <v>7.39</v>
      </c>
      <c r="G121" s="17">
        <v>22428</v>
      </c>
      <c r="H121" s="18">
        <f t="shared" si="3"/>
        <v>7.3899999999999993E-2</v>
      </c>
      <c r="I121" s="5">
        <f t="shared" si="4"/>
        <v>1.7409229805475531E-3</v>
      </c>
      <c r="J121" s="2">
        <f t="shared" si="5"/>
        <v>478</v>
      </c>
    </row>
    <row r="122" spans="1:10" ht="15.75" customHeight="1" x14ac:dyDescent="0.3">
      <c r="A122" s="13">
        <v>45726</v>
      </c>
      <c r="B122" s="14" t="s">
        <v>13</v>
      </c>
      <c r="C122" s="15">
        <v>631</v>
      </c>
      <c r="D122" s="15">
        <v>86</v>
      </c>
      <c r="E122" s="15">
        <v>295090</v>
      </c>
      <c r="F122" s="16">
        <v>7.89</v>
      </c>
      <c r="G122" s="17">
        <v>11911</v>
      </c>
      <c r="H122" s="18">
        <f t="shared" si="3"/>
        <v>7.8899999999999998E-2</v>
      </c>
      <c r="I122" s="5">
        <f t="shared" si="4"/>
        <v>1.8468941678809856E-3</v>
      </c>
      <c r="J122" s="2">
        <f t="shared" si="5"/>
        <v>545</v>
      </c>
    </row>
    <row r="123" spans="1:10" ht="15.75" customHeight="1" x14ac:dyDescent="0.3">
      <c r="A123" s="13">
        <v>45726</v>
      </c>
      <c r="B123" s="14" t="s">
        <v>22</v>
      </c>
      <c r="C123" s="15">
        <v>1159</v>
      </c>
      <c r="D123" s="15">
        <v>154</v>
      </c>
      <c r="E123" s="15">
        <v>194994</v>
      </c>
      <c r="F123" s="16">
        <v>6.39</v>
      </c>
      <c r="G123" s="17">
        <v>21900</v>
      </c>
      <c r="H123" s="18">
        <f t="shared" si="3"/>
        <v>6.3899999999999998E-2</v>
      </c>
      <c r="I123" s="5">
        <f t="shared" si="4"/>
        <v>5.1540047386073422E-3</v>
      </c>
      <c r="J123" s="2">
        <f t="shared" si="5"/>
        <v>1005</v>
      </c>
    </row>
    <row r="124" spans="1:10" ht="15.75" customHeight="1" x14ac:dyDescent="0.3">
      <c r="A124" s="13">
        <v>45726</v>
      </c>
      <c r="B124" s="14" t="s">
        <v>28</v>
      </c>
      <c r="C124" s="15">
        <v>950</v>
      </c>
      <c r="D124" s="15">
        <v>185</v>
      </c>
      <c r="E124" s="15">
        <v>340750</v>
      </c>
      <c r="F124" s="16">
        <v>6.77</v>
      </c>
      <c r="G124" s="17">
        <v>25542</v>
      </c>
      <c r="H124" s="18">
        <f t="shared" si="3"/>
        <v>6.7699999999999996E-2</v>
      </c>
      <c r="I124" s="5">
        <f t="shared" si="4"/>
        <v>2.2450476889214967E-3</v>
      </c>
      <c r="J124" s="2">
        <f t="shared" si="5"/>
        <v>765</v>
      </c>
    </row>
    <row r="125" spans="1:10" ht="15.75" customHeight="1" x14ac:dyDescent="0.3">
      <c r="A125" s="13">
        <v>45733</v>
      </c>
      <c r="B125" s="14" t="s">
        <v>13</v>
      </c>
      <c r="C125" s="15">
        <v>693</v>
      </c>
      <c r="D125" s="15">
        <v>129</v>
      </c>
      <c r="E125" s="15">
        <v>296031</v>
      </c>
      <c r="F125" s="16">
        <v>3.41</v>
      </c>
      <c r="G125" s="17">
        <v>7140</v>
      </c>
      <c r="H125" s="18">
        <f t="shared" si="3"/>
        <v>3.4099999999999998E-2</v>
      </c>
      <c r="I125" s="5">
        <f t="shared" si="4"/>
        <v>1.9052058737091724E-3</v>
      </c>
      <c r="J125" s="2">
        <f t="shared" si="5"/>
        <v>564</v>
      </c>
    </row>
    <row r="126" spans="1:10" ht="15.75" customHeight="1" x14ac:dyDescent="0.3">
      <c r="A126" s="13">
        <v>45733</v>
      </c>
      <c r="B126" s="14" t="s">
        <v>22</v>
      </c>
      <c r="C126" s="15">
        <v>576</v>
      </c>
      <c r="D126" s="15">
        <v>80</v>
      </c>
      <c r="E126" s="15">
        <v>345688</v>
      </c>
      <c r="F126" s="16">
        <v>4.1100000000000003</v>
      </c>
      <c r="G126" s="17">
        <v>20474</v>
      </c>
      <c r="H126" s="18">
        <f t="shared" si="3"/>
        <v>4.1100000000000005E-2</v>
      </c>
      <c r="I126" s="5">
        <f t="shared" si="4"/>
        <v>1.4348198375413667E-3</v>
      </c>
      <c r="J126" s="2">
        <f t="shared" si="5"/>
        <v>496</v>
      </c>
    </row>
    <row r="127" spans="1:10" ht="15.75" customHeight="1" x14ac:dyDescent="0.3">
      <c r="A127" s="13">
        <v>45733</v>
      </c>
      <c r="B127" s="14" t="s">
        <v>28</v>
      </c>
      <c r="C127" s="15">
        <v>1274</v>
      </c>
      <c r="D127" s="15">
        <v>146</v>
      </c>
      <c r="E127" s="15">
        <v>263488</v>
      </c>
      <c r="F127" s="16">
        <v>9.58</v>
      </c>
      <c r="G127" s="17">
        <v>8698</v>
      </c>
      <c r="H127" s="18">
        <f t="shared" si="3"/>
        <v>9.5799999999999996E-2</v>
      </c>
      <c r="I127" s="5">
        <f t="shared" si="4"/>
        <v>4.2810298761233904E-3</v>
      </c>
      <c r="J127" s="2">
        <f t="shared" si="5"/>
        <v>1128</v>
      </c>
    </row>
    <row r="128" spans="1:10" ht="15.75" customHeight="1" x14ac:dyDescent="0.3">
      <c r="A128" s="13">
        <v>45740</v>
      </c>
      <c r="B128" s="14" t="s">
        <v>13</v>
      </c>
      <c r="C128" s="15">
        <v>818</v>
      </c>
      <c r="D128" s="15">
        <v>253</v>
      </c>
      <c r="E128" s="15">
        <v>184911</v>
      </c>
      <c r="F128" s="16">
        <v>3.39</v>
      </c>
      <c r="G128" s="17">
        <v>10402</v>
      </c>
      <c r="H128" s="18">
        <f t="shared" si="3"/>
        <v>3.39E-2</v>
      </c>
      <c r="I128" s="5">
        <f t="shared" si="4"/>
        <v>3.0555240088474996E-3</v>
      </c>
      <c r="J128" s="2">
        <f t="shared" si="5"/>
        <v>565</v>
      </c>
    </row>
    <row r="129" spans="1:10" ht="15.75" customHeight="1" x14ac:dyDescent="0.3">
      <c r="A129" s="13">
        <v>45740</v>
      </c>
      <c r="B129" s="14" t="s">
        <v>22</v>
      </c>
      <c r="C129" s="15">
        <v>975</v>
      </c>
      <c r="D129" s="15">
        <v>162</v>
      </c>
      <c r="E129" s="15">
        <v>124497</v>
      </c>
      <c r="F129" s="16">
        <v>9.58</v>
      </c>
      <c r="G129" s="17">
        <v>26618</v>
      </c>
      <c r="H129" s="18">
        <f t="shared" si="3"/>
        <v>9.5799999999999996E-2</v>
      </c>
      <c r="I129" s="5">
        <f t="shared" si="4"/>
        <v>6.5302778380201933E-3</v>
      </c>
      <c r="J129" s="2">
        <f t="shared" si="5"/>
        <v>813</v>
      </c>
    </row>
    <row r="130" spans="1:10" ht="15.75" customHeight="1" x14ac:dyDescent="0.3">
      <c r="A130" s="13">
        <v>45740</v>
      </c>
      <c r="B130" s="14" t="s">
        <v>28</v>
      </c>
      <c r="C130" s="15">
        <v>1398</v>
      </c>
      <c r="D130" s="15">
        <v>97</v>
      </c>
      <c r="E130" s="15">
        <v>397607</v>
      </c>
      <c r="F130" s="16">
        <v>5.09</v>
      </c>
      <c r="G130" s="17">
        <v>7975</v>
      </c>
      <c r="H130" s="18">
        <f t="shared" si="3"/>
        <v>5.0900000000000001E-2</v>
      </c>
      <c r="I130" s="5">
        <f t="shared" si="4"/>
        <v>3.2720751898231166E-3</v>
      </c>
      <c r="J130" s="2">
        <f t="shared" si="5"/>
        <v>1301</v>
      </c>
    </row>
    <row r="131" spans="1:10" ht="15.75" customHeight="1" x14ac:dyDescent="0.3">
      <c r="A131" s="13">
        <v>45747</v>
      </c>
      <c r="B131" s="14" t="s">
        <v>13</v>
      </c>
      <c r="C131" s="15">
        <v>591</v>
      </c>
      <c r="D131" s="15">
        <v>155</v>
      </c>
      <c r="E131" s="15">
        <v>138521</v>
      </c>
      <c r="F131" s="16">
        <v>7.85</v>
      </c>
      <c r="G131" s="17">
        <v>19054</v>
      </c>
      <c r="H131" s="18">
        <f t="shared" ref="H131:H194" si="6">F131/100</f>
        <v>7.85E-2</v>
      </c>
      <c r="I131" s="5">
        <f t="shared" ref="I131:I194" si="7">(C131-D131)/E131</f>
        <v>3.1475371965261584E-3</v>
      </c>
      <c r="J131" s="2">
        <f t="shared" ref="J131:J194" si="8">C131-D131</f>
        <v>436</v>
      </c>
    </row>
    <row r="132" spans="1:10" ht="15.75" customHeight="1" x14ac:dyDescent="0.3">
      <c r="A132" s="13">
        <v>45747</v>
      </c>
      <c r="B132" s="14" t="s">
        <v>22</v>
      </c>
      <c r="C132" s="15">
        <v>1232</v>
      </c>
      <c r="D132" s="15">
        <v>254</v>
      </c>
      <c r="E132" s="15">
        <v>107718</v>
      </c>
      <c r="F132" s="16">
        <v>9.7100000000000009</v>
      </c>
      <c r="G132" s="17">
        <v>13740</v>
      </c>
      <c r="H132" s="18">
        <f t="shared" si="6"/>
        <v>9.7100000000000006E-2</v>
      </c>
      <c r="I132" s="5">
        <f t="shared" si="7"/>
        <v>9.0792625187990864E-3</v>
      </c>
      <c r="J132" s="2">
        <f t="shared" si="8"/>
        <v>978</v>
      </c>
    </row>
    <row r="133" spans="1:10" ht="15.75" customHeight="1" x14ac:dyDescent="0.3">
      <c r="A133" s="13">
        <v>45747</v>
      </c>
      <c r="B133" s="14" t="s">
        <v>28</v>
      </c>
      <c r="C133" s="15">
        <v>1425</v>
      </c>
      <c r="D133" s="15">
        <v>58</v>
      </c>
      <c r="E133" s="15">
        <v>202234</v>
      </c>
      <c r="F133" s="16">
        <v>6.67</v>
      </c>
      <c r="G133" s="17">
        <v>18442</v>
      </c>
      <c r="H133" s="18">
        <f t="shared" si="6"/>
        <v>6.6699999999999995E-2</v>
      </c>
      <c r="I133" s="5">
        <f t="shared" si="7"/>
        <v>6.7594964249334932E-3</v>
      </c>
      <c r="J133" s="2">
        <f t="shared" si="8"/>
        <v>1367</v>
      </c>
    </row>
    <row r="134" spans="1:10" ht="15.75" customHeight="1" x14ac:dyDescent="0.3">
      <c r="A134" s="13">
        <v>45754</v>
      </c>
      <c r="B134" s="14" t="s">
        <v>13</v>
      </c>
      <c r="C134" s="15">
        <v>1417</v>
      </c>
      <c r="D134" s="15">
        <v>80</v>
      </c>
      <c r="E134" s="15">
        <v>340987</v>
      </c>
      <c r="F134" s="16">
        <v>6.13</v>
      </c>
      <c r="G134" s="17">
        <v>10104</v>
      </c>
      <c r="H134" s="18">
        <f t="shared" si="6"/>
        <v>6.13E-2</v>
      </c>
      <c r="I134" s="5">
        <f t="shared" si="7"/>
        <v>3.9209705941868752E-3</v>
      </c>
      <c r="J134" s="2">
        <f t="shared" si="8"/>
        <v>1337</v>
      </c>
    </row>
    <row r="135" spans="1:10" ht="15.75" customHeight="1" x14ac:dyDescent="0.3">
      <c r="A135" s="13">
        <v>45754</v>
      </c>
      <c r="B135" s="14" t="s">
        <v>22</v>
      </c>
      <c r="C135" s="15">
        <v>1222</v>
      </c>
      <c r="D135" s="15">
        <v>208</v>
      </c>
      <c r="E135" s="15">
        <v>340098</v>
      </c>
      <c r="F135" s="16">
        <v>7.34</v>
      </c>
      <c r="G135" s="17">
        <v>21771</v>
      </c>
      <c r="H135" s="18">
        <f t="shared" si="6"/>
        <v>7.3399999999999993E-2</v>
      </c>
      <c r="I135" s="5">
        <f t="shared" si="7"/>
        <v>2.9814935695005556E-3</v>
      </c>
      <c r="J135" s="2">
        <f t="shared" si="8"/>
        <v>1014</v>
      </c>
    </row>
    <row r="136" spans="1:10" ht="15.75" customHeight="1" x14ac:dyDescent="0.3">
      <c r="A136" s="13">
        <v>45754</v>
      </c>
      <c r="B136" s="14" t="s">
        <v>28</v>
      </c>
      <c r="C136" s="15">
        <v>1071</v>
      </c>
      <c r="D136" s="15">
        <v>131</v>
      </c>
      <c r="E136" s="15">
        <v>254727</v>
      </c>
      <c r="F136" s="16">
        <v>6.87</v>
      </c>
      <c r="G136" s="17">
        <v>22191</v>
      </c>
      <c r="H136" s="18">
        <f t="shared" si="6"/>
        <v>6.8699999999999997E-2</v>
      </c>
      <c r="I136" s="5">
        <f t="shared" si="7"/>
        <v>3.6902252215116576E-3</v>
      </c>
      <c r="J136" s="2">
        <f t="shared" si="8"/>
        <v>940</v>
      </c>
    </row>
    <row r="137" spans="1:10" ht="15.75" customHeight="1" x14ac:dyDescent="0.3">
      <c r="A137" s="13">
        <v>45761</v>
      </c>
      <c r="B137" s="14" t="s">
        <v>13</v>
      </c>
      <c r="C137" s="15">
        <v>772</v>
      </c>
      <c r="D137" s="15">
        <v>82</v>
      </c>
      <c r="E137" s="15">
        <v>345659</v>
      </c>
      <c r="F137" s="16">
        <v>3.52</v>
      </c>
      <c r="G137" s="17">
        <v>27753</v>
      </c>
      <c r="H137" s="18">
        <f t="shared" si="6"/>
        <v>3.5200000000000002E-2</v>
      </c>
      <c r="I137" s="5">
        <f t="shared" si="7"/>
        <v>1.9961869935398759E-3</v>
      </c>
      <c r="J137" s="2">
        <f t="shared" si="8"/>
        <v>690</v>
      </c>
    </row>
    <row r="138" spans="1:10" ht="15.75" customHeight="1" x14ac:dyDescent="0.3">
      <c r="A138" s="13">
        <v>45761</v>
      </c>
      <c r="B138" s="14" t="s">
        <v>22</v>
      </c>
      <c r="C138" s="15">
        <v>1472</v>
      </c>
      <c r="D138" s="15">
        <v>137</v>
      </c>
      <c r="E138" s="15">
        <v>213950</v>
      </c>
      <c r="F138" s="16">
        <v>6.96</v>
      </c>
      <c r="G138" s="17">
        <v>23736</v>
      </c>
      <c r="H138" s="18">
        <f t="shared" si="6"/>
        <v>6.9599999999999995E-2</v>
      </c>
      <c r="I138" s="5">
        <f t="shared" si="7"/>
        <v>6.2397756485160086E-3</v>
      </c>
      <c r="J138" s="2">
        <f t="shared" si="8"/>
        <v>1335</v>
      </c>
    </row>
    <row r="139" spans="1:10" ht="15.75" customHeight="1" x14ac:dyDescent="0.3">
      <c r="A139" s="13">
        <v>45761</v>
      </c>
      <c r="B139" s="14" t="s">
        <v>28</v>
      </c>
      <c r="C139" s="15">
        <v>1472</v>
      </c>
      <c r="D139" s="15">
        <v>281</v>
      </c>
      <c r="E139" s="15">
        <v>258115</v>
      </c>
      <c r="F139" s="16">
        <v>7.23</v>
      </c>
      <c r="G139" s="17">
        <v>27393</v>
      </c>
      <c r="H139" s="18">
        <f t="shared" si="6"/>
        <v>7.2300000000000003E-2</v>
      </c>
      <c r="I139" s="5">
        <f t="shared" si="7"/>
        <v>4.6142223427541986E-3</v>
      </c>
      <c r="J139" s="2">
        <f t="shared" si="8"/>
        <v>1191</v>
      </c>
    </row>
    <row r="140" spans="1:10" ht="15.75" customHeight="1" x14ac:dyDescent="0.3">
      <c r="A140" s="13">
        <v>45768</v>
      </c>
      <c r="B140" s="14" t="s">
        <v>13</v>
      </c>
      <c r="C140" s="15">
        <v>585</v>
      </c>
      <c r="D140" s="15">
        <v>232</v>
      </c>
      <c r="E140" s="15">
        <v>321258</v>
      </c>
      <c r="F140" s="16">
        <v>7.42</v>
      </c>
      <c r="G140" s="17">
        <v>10343</v>
      </c>
      <c r="H140" s="18">
        <f t="shared" si="6"/>
        <v>7.4200000000000002E-2</v>
      </c>
      <c r="I140" s="5">
        <f t="shared" si="7"/>
        <v>1.0988053215795403E-3</v>
      </c>
      <c r="J140" s="2">
        <f t="shared" si="8"/>
        <v>353</v>
      </c>
    </row>
    <row r="141" spans="1:10" ht="15.75" customHeight="1" x14ac:dyDescent="0.3">
      <c r="A141" s="13">
        <v>45768</v>
      </c>
      <c r="B141" s="14" t="s">
        <v>22</v>
      </c>
      <c r="C141" s="15">
        <v>747</v>
      </c>
      <c r="D141" s="15">
        <v>261</v>
      </c>
      <c r="E141" s="15">
        <v>338650</v>
      </c>
      <c r="F141" s="16">
        <v>7.73</v>
      </c>
      <c r="G141" s="17">
        <v>25259</v>
      </c>
      <c r="H141" s="18">
        <f t="shared" si="6"/>
        <v>7.7300000000000008E-2</v>
      </c>
      <c r="I141" s="5">
        <f t="shared" si="7"/>
        <v>1.4351099955706482E-3</v>
      </c>
      <c r="J141" s="2">
        <f t="shared" si="8"/>
        <v>486</v>
      </c>
    </row>
    <row r="142" spans="1:10" ht="15.75" customHeight="1" x14ac:dyDescent="0.3">
      <c r="A142" s="13">
        <v>45768</v>
      </c>
      <c r="B142" s="14" t="s">
        <v>28</v>
      </c>
      <c r="C142" s="15">
        <v>1113</v>
      </c>
      <c r="D142" s="15">
        <v>224</v>
      </c>
      <c r="E142" s="15">
        <v>272989</v>
      </c>
      <c r="F142" s="16">
        <v>5.13</v>
      </c>
      <c r="G142" s="17">
        <v>24827</v>
      </c>
      <c r="H142" s="18">
        <f t="shared" si="6"/>
        <v>5.1299999999999998E-2</v>
      </c>
      <c r="I142" s="5">
        <f t="shared" si="7"/>
        <v>3.2565414723670183E-3</v>
      </c>
      <c r="J142" s="2">
        <f t="shared" si="8"/>
        <v>889</v>
      </c>
    </row>
    <row r="143" spans="1:10" ht="15.75" customHeight="1" x14ac:dyDescent="0.3">
      <c r="A143" s="13">
        <v>45775</v>
      </c>
      <c r="B143" s="14" t="s">
        <v>13</v>
      </c>
      <c r="C143" s="15">
        <v>1100</v>
      </c>
      <c r="D143" s="15">
        <v>117</v>
      </c>
      <c r="E143" s="15">
        <v>260204</v>
      </c>
      <c r="F143" s="16">
        <v>4.4000000000000004</v>
      </c>
      <c r="G143" s="17">
        <v>11908</v>
      </c>
      <c r="H143" s="18">
        <f t="shared" si="6"/>
        <v>4.4000000000000004E-2</v>
      </c>
      <c r="I143" s="5">
        <f t="shared" si="7"/>
        <v>3.7778051067623862E-3</v>
      </c>
      <c r="J143" s="2">
        <f t="shared" si="8"/>
        <v>983</v>
      </c>
    </row>
    <row r="144" spans="1:10" ht="15.75" customHeight="1" x14ac:dyDescent="0.3">
      <c r="A144" s="13">
        <v>45775</v>
      </c>
      <c r="B144" s="14" t="s">
        <v>22</v>
      </c>
      <c r="C144" s="15">
        <v>751</v>
      </c>
      <c r="D144" s="15">
        <v>170</v>
      </c>
      <c r="E144" s="15">
        <v>283278</v>
      </c>
      <c r="F144" s="16">
        <v>3.49</v>
      </c>
      <c r="G144" s="17">
        <v>11005</v>
      </c>
      <c r="H144" s="18">
        <f t="shared" si="6"/>
        <v>3.49E-2</v>
      </c>
      <c r="I144" s="5">
        <f t="shared" si="7"/>
        <v>2.0509887813384732E-3</v>
      </c>
      <c r="J144" s="2">
        <f t="shared" si="8"/>
        <v>581</v>
      </c>
    </row>
    <row r="145" spans="1:10" ht="15.75" customHeight="1" x14ac:dyDescent="0.3">
      <c r="A145" s="13">
        <v>45775</v>
      </c>
      <c r="B145" s="14" t="s">
        <v>28</v>
      </c>
      <c r="C145" s="15">
        <v>864</v>
      </c>
      <c r="D145" s="15">
        <v>50</v>
      </c>
      <c r="E145" s="15">
        <v>277445</v>
      </c>
      <c r="F145" s="16">
        <v>3.57</v>
      </c>
      <c r="G145" s="17">
        <v>26333</v>
      </c>
      <c r="H145" s="18">
        <f t="shared" si="6"/>
        <v>3.5699999999999996E-2</v>
      </c>
      <c r="I145" s="5">
        <f t="shared" si="7"/>
        <v>2.9339148299662998E-3</v>
      </c>
      <c r="J145" s="2">
        <f t="shared" si="8"/>
        <v>814</v>
      </c>
    </row>
    <row r="146" spans="1:10" ht="15.75" customHeight="1" x14ac:dyDescent="0.3">
      <c r="A146" s="13">
        <v>45782</v>
      </c>
      <c r="B146" s="14" t="s">
        <v>13</v>
      </c>
      <c r="C146" s="15">
        <v>1146</v>
      </c>
      <c r="D146" s="15">
        <v>227</v>
      </c>
      <c r="E146" s="15">
        <v>353781</v>
      </c>
      <c r="F146" s="16">
        <v>6.41</v>
      </c>
      <c r="G146" s="17">
        <v>5495</v>
      </c>
      <c r="H146" s="18">
        <f t="shared" si="6"/>
        <v>6.4100000000000004E-2</v>
      </c>
      <c r="I146" s="5">
        <f t="shared" si="7"/>
        <v>2.5976522198761379E-3</v>
      </c>
      <c r="J146" s="2">
        <f t="shared" si="8"/>
        <v>919</v>
      </c>
    </row>
    <row r="147" spans="1:10" ht="15.75" customHeight="1" x14ac:dyDescent="0.3">
      <c r="A147" s="13">
        <v>45782</v>
      </c>
      <c r="B147" s="14" t="s">
        <v>22</v>
      </c>
      <c r="C147" s="15">
        <v>883</v>
      </c>
      <c r="D147" s="15">
        <v>207</v>
      </c>
      <c r="E147" s="15">
        <v>265019</v>
      </c>
      <c r="F147" s="16">
        <v>6.04</v>
      </c>
      <c r="G147" s="17">
        <v>15655</v>
      </c>
      <c r="H147" s="18">
        <f t="shared" si="6"/>
        <v>6.0400000000000002E-2</v>
      </c>
      <c r="I147" s="5">
        <f t="shared" si="7"/>
        <v>2.5507605115104954E-3</v>
      </c>
      <c r="J147" s="2">
        <f t="shared" si="8"/>
        <v>676</v>
      </c>
    </row>
    <row r="148" spans="1:10" ht="15.75" customHeight="1" x14ac:dyDescent="0.3">
      <c r="A148" s="13">
        <v>45782</v>
      </c>
      <c r="B148" s="14" t="s">
        <v>28</v>
      </c>
      <c r="C148" s="15">
        <v>622</v>
      </c>
      <c r="D148" s="15">
        <v>163</v>
      </c>
      <c r="E148" s="15">
        <v>231925</v>
      </c>
      <c r="F148" s="16">
        <v>9.18</v>
      </c>
      <c r="G148" s="17">
        <v>13763</v>
      </c>
      <c r="H148" s="18">
        <f t="shared" si="6"/>
        <v>9.1799999999999993E-2</v>
      </c>
      <c r="I148" s="5">
        <f t="shared" si="7"/>
        <v>1.9790880672631238E-3</v>
      </c>
      <c r="J148" s="2">
        <f t="shared" si="8"/>
        <v>459</v>
      </c>
    </row>
    <row r="149" spans="1:10" ht="15.75" customHeight="1" x14ac:dyDescent="0.3">
      <c r="A149" s="13">
        <v>45789</v>
      </c>
      <c r="B149" s="14" t="s">
        <v>13</v>
      </c>
      <c r="C149" s="15">
        <v>837</v>
      </c>
      <c r="D149" s="15">
        <v>261</v>
      </c>
      <c r="E149" s="15">
        <v>366149</v>
      </c>
      <c r="F149" s="16">
        <v>6.54</v>
      </c>
      <c r="G149" s="17">
        <v>26073</v>
      </c>
      <c r="H149" s="18">
        <f t="shared" si="6"/>
        <v>6.54E-2</v>
      </c>
      <c r="I149" s="5">
        <f t="shared" si="7"/>
        <v>1.5731300645365684E-3</v>
      </c>
      <c r="J149" s="2">
        <f t="shared" si="8"/>
        <v>576</v>
      </c>
    </row>
    <row r="150" spans="1:10" ht="15.75" customHeight="1" x14ac:dyDescent="0.3">
      <c r="A150" s="13">
        <v>45789</v>
      </c>
      <c r="B150" s="14" t="s">
        <v>22</v>
      </c>
      <c r="C150" s="15">
        <v>544</v>
      </c>
      <c r="D150" s="15">
        <v>97</v>
      </c>
      <c r="E150" s="15">
        <v>168375</v>
      </c>
      <c r="F150" s="16">
        <v>8.66</v>
      </c>
      <c r="G150" s="17">
        <v>12774</v>
      </c>
      <c r="H150" s="18">
        <f t="shared" si="6"/>
        <v>8.6599999999999996E-2</v>
      </c>
      <c r="I150" s="5">
        <f t="shared" si="7"/>
        <v>2.6547884187082403E-3</v>
      </c>
      <c r="J150" s="2">
        <f t="shared" si="8"/>
        <v>447</v>
      </c>
    </row>
    <row r="151" spans="1:10" ht="15.75" customHeight="1" x14ac:dyDescent="0.3">
      <c r="A151" s="13">
        <v>45789</v>
      </c>
      <c r="B151" s="14" t="s">
        <v>28</v>
      </c>
      <c r="C151" s="15">
        <v>624</v>
      </c>
      <c r="D151" s="15">
        <v>247</v>
      </c>
      <c r="E151" s="15">
        <v>252763</v>
      </c>
      <c r="F151" s="16">
        <v>3.89</v>
      </c>
      <c r="G151" s="17">
        <v>19000</v>
      </c>
      <c r="H151" s="18">
        <f t="shared" si="6"/>
        <v>3.8900000000000004E-2</v>
      </c>
      <c r="I151" s="5">
        <f t="shared" si="7"/>
        <v>1.4915157677349929E-3</v>
      </c>
      <c r="J151" s="2">
        <f t="shared" si="8"/>
        <v>377</v>
      </c>
    </row>
    <row r="152" spans="1:10" ht="15.75" customHeight="1" x14ac:dyDescent="0.3">
      <c r="A152" s="13">
        <v>45796</v>
      </c>
      <c r="B152" s="14" t="s">
        <v>13</v>
      </c>
      <c r="C152" s="15">
        <v>1073</v>
      </c>
      <c r="D152" s="15">
        <v>141</v>
      </c>
      <c r="E152" s="15">
        <v>118393</v>
      </c>
      <c r="F152" s="16">
        <v>7.95</v>
      </c>
      <c r="G152" s="17">
        <v>14051</v>
      </c>
      <c r="H152" s="18">
        <f t="shared" si="6"/>
        <v>7.9500000000000001E-2</v>
      </c>
      <c r="I152" s="5">
        <f t="shared" si="7"/>
        <v>7.872087032172511E-3</v>
      </c>
      <c r="J152" s="2">
        <f t="shared" si="8"/>
        <v>932</v>
      </c>
    </row>
    <row r="153" spans="1:10" ht="15.75" customHeight="1" x14ac:dyDescent="0.3">
      <c r="A153" s="13">
        <v>45796</v>
      </c>
      <c r="B153" s="14" t="s">
        <v>22</v>
      </c>
      <c r="C153" s="15">
        <v>1430</v>
      </c>
      <c r="D153" s="15">
        <v>74</v>
      </c>
      <c r="E153" s="15">
        <v>327012</v>
      </c>
      <c r="F153" s="16">
        <v>6.66</v>
      </c>
      <c r="G153" s="17">
        <v>27782</v>
      </c>
      <c r="H153" s="18">
        <f t="shared" si="6"/>
        <v>6.6600000000000006E-2</v>
      </c>
      <c r="I153" s="5">
        <f t="shared" si="7"/>
        <v>4.1466368206671319E-3</v>
      </c>
      <c r="J153" s="2">
        <f t="shared" si="8"/>
        <v>1356</v>
      </c>
    </row>
    <row r="154" spans="1:10" ht="15.75" customHeight="1" x14ac:dyDescent="0.3">
      <c r="A154" s="13">
        <v>45796</v>
      </c>
      <c r="B154" s="14" t="s">
        <v>28</v>
      </c>
      <c r="C154" s="15">
        <v>1358</v>
      </c>
      <c r="D154" s="15">
        <v>77</v>
      </c>
      <c r="E154" s="15">
        <v>169688</v>
      </c>
      <c r="F154" s="16">
        <v>5.25</v>
      </c>
      <c r="G154" s="17">
        <v>7859</v>
      </c>
      <c r="H154" s="18">
        <f t="shared" si="6"/>
        <v>5.2499999999999998E-2</v>
      </c>
      <c r="I154" s="5">
        <f t="shared" si="7"/>
        <v>7.5491490264485411E-3</v>
      </c>
      <c r="J154" s="2">
        <f t="shared" si="8"/>
        <v>1281</v>
      </c>
    </row>
    <row r="155" spans="1:10" ht="15.75" customHeight="1" x14ac:dyDescent="0.3">
      <c r="A155" s="13">
        <v>45803</v>
      </c>
      <c r="B155" s="14" t="s">
        <v>13</v>
      </c>
      <c r="C155" s="15">
        <v>1242</v>
      </c>
      <c r="D155" s="15">
        <v>201</v>
      </c>
      <c r="E155" s="15">
        <v>271935</v>
      </c>
      <c r="F155" s="16">
        <v>5.07</v>
      </c>
      <c r="G155" s="17">
        <v>15773</v>
      </c>
      <c r="H155" s="18">
        <f t="shared" si="6"/>
        <v>5.0700000000000002E-2</v>
      </c>
      <c r="I155" s="5">
        <f t="shared" si="7"/>
        <v>3.8281206906062111E-3</v>
      </c>
      <c r="J155" s="2">
        <f t="shared" si="8"/>
        <v>1041</v>
      </c>
    </row>
    <row r="156" spans="1:10" ht="15.75" customHeight="1" x14ac:dyDescent="0.3">
      <c r="A156" s="13">
        <v>45803</v>
      </c>
      <c r="B156" s="14" t="s">
        <v>22</v>
      </c>
      <c r="C156" s="15">
        <v>1389</v>
      </c>
      <c r="D156" s="15">
        <v>205</v>
      </c>
      <c r="E156" s="15">
        <v>315981</v>
      </c>
      <c r="F156" s="16">
        <v>7.62</v>
      </c>
      <c r="G156" s="17">
        <v>20595</v>
      </c>
      <c r="H156" s="18">
        <f t="shared" si="6"/>
        <v>7.6200000000000004E-2</v>
      </c>
      <c r="I156" s="5">
        <f t="shared" si="7"/>
        <v>3.7470607409939207E-3</v>
      </c>
      <c r="J156" s="2">
        <f t="shared" si="8"/>
        <v>1184</v>
      </c>
    </row>
    <row r="157" spans="1:10" ht="15.75" customHeight="1" x14ac:dyDescent="0.3">
      <c r="A157" s="13">
        <v>45803</v>
      </c>
      <c r="B157" s="14" t="s">
        <v>28</v>
      </c>
      <c r="C157" s="15">
        <v>826</v>
      </c>
      <c r="D157" s="15">
        <v>142</v>
      </c>
      <c r="E157" s="15">
        <v>341016</v>
      </c>
      <c r="F157" s="16">
        <v>7.44</v>
      </c>
      <c r="G157" s="17">
        <v>12031</v>
      </c>
      <c r="H157" s="18">
        <f t="shared" si="6"/>
        <v>7.4400000000000008E-2</v>
      </c>
      <c r="I157" s="5">
        <f t="shared" si="7"/>
        <v>2.005770990217468E-3</v>
      </c>
      <c r="J157" s="2">
        <f t="shared" si="8"/>
        <v>684</v>
      </c>
    </row>
    <row r="158" spans="1:10" ht="15.75" customHeight="1" x14ac:dyDescent="0.3">
      <c r="A158" s="13">
        <v>45810</v>
      </c>
      <c r="B158" s="14" t="s">
        <v>13</v>
      </c>
      <c r="C158" s="15">
        <v>618</v>
      </c>
      <c r="D158" s="15">
        <v>264</v>
      </c>
      <c r="E158" s="15">
        <v>285164</v>
      </c>
      <c r="F158" s="16">
        <v>4.8600000000000003</v>
      </c>
      <c r="G158" s="17">
        <v>15128</v>
      </c>
      <c r="H158" s="18">
        <f t="shared" si="6"/>
        <v>4.8600000000000004E-2</v>
      </c>
      <c r="I158" s="5">
        <f t="shared" si="7"/>
        <v>1.2413909189098204E-3</v>
      </c>
      <c r="J158" s="2">
        <f t="shared" si="8"/>
        <v>354</v>
      </c>
    </row>
    <row r="159" spans="1:10" ht="15.75" customHeight="1" x14ac:dyDescent="0.3">
      <c r="A159" s="13">
        <v>45810</v>
      </c>
      <c r="B159" s="14" t="s">
        <v>22</v>
      </c>
      <c r="C159" s="15">
        <v>1419</v>
      </c>
      <c r="D159" s="15">
        <v>293</v>
      </c>
      <c r="E159" s="15">
        <v>116632</v>
      </c>
      <c r="F159" s="16">
        <v>6.93</v>
      </c>
      <c r="G159" s="17">
        <v>11826</v>
      </c>
      <c r="H159" s="18">
        <f t="shared" si="6"/>
        <v>6.93E-2</v>
      </c>
      <c r="I159" s="5">
        <f t="shared" si="7"/>
        <v>9.6542972769051369E-3</v>
      </c>
      <c r="J159" s="2">
        <f t="shared" si="8"/>
        <v>1126</v>
      </c>
    </row>
    <row r="160" spans="1:10" ht="15.75" customHeight="1" x14ac:dyDescent="0.3">
      <c r="A160" s="13">
        <v>45810</v>
      </c>
      <c r="B160" s="14" t="s">
        <v>28</v>
      </c>
      <c r="C160" s="15">
        <v>637</v>
      </c>
      <c r="D160" s="15">
        <v>68</v>
      </c>
      <c r="E160" s="15">
        <v>115694</v>
      </c>
      <c r="F160" s="16">
        <v>9.99</v>
      </c>
      <c r="G160" s="17">
        <v>12562</v>
      </c>
      <c r="H160" s="18">
        <f t="shared" si="6"/>
        <v>9.9900000000000003E-2</v>
      </c>
      <c r="I160" s="5">
        <f t="shared" si="7"/>
        <v>4.9181461441388493E-3</v>
      </c>
      <c r="J160" s="2">
        <f t="shared" si="8"/>
        <v>569</v>
      </c>
    </row>
    <row r="161" spans="1:10" ht="15.75" customHeight="1" x14ac:dyDescent="0.3">
      <c r="A161" s="13">
        <v>45817</v>
      </c>
      <c r="B161" s="14" t="s">
        <v>13</v>
      </c>
      <c r="C161" s="15">
        <v>917</v>
      </c>
      <c r="D161" s="15">
        <v>187</v>
      </c>
      <c r="E161" s="15">
        <v>64444</v>
      </c>
      <c r="F161" s="16">
        <v>5.22</v>
      </c>
      <c r="G161" s="17">
        <v>13013</v>
      </c>
      <c r="H161" s="18">
        <f t="shared" si="6"/>
        <v>5.2199999999999996E-2</v>
      </c>
      <c r="I161" s="5">
        <f t="shared" si="7"/>
        <v>1.1327664328719508E-2</v>
      </c>
      <c r="J161" s="2">
        <f t="shared" si="8"/>
        <v>730</v>
      </c>
    </row>
    <row r="162" spans="1:10" ht="15.75" customHeight="1" x14ac:dyDescent="0.3">
      <c r="A162" s="13">
        <v>45817</v>
      </c>
      <c r="B162" s="14" t="s">
        <v>22</v>
      </c>
      <c r="C162" s="15">
        <v>810</v>
      </c>
      <c r="D162" s="15">
        <v>232</v>
      </c>
      <c r="E162" s="15">
        <v>362559</v>
      </c>
      <c r="F162" s="16">
        <v>5.17</v>
      </c>
      <c r="G162" s="17">
        <v>12937</v>
      </c>
      <c r="H162" s="18">
        <f t="shared" si="6"/>
        <v>5.1699999999999996E-2</v>
      </c>
      <c r="I162" s="5">
        <f t="shared" si="7"/>
        <v>1.5942232850377457E-3</v>
      </c>
      <c r="J162" s="2">
        <f t="shared" si="8"/>
        <v>578</v>
      </c>
    </row>
    <row r="163" spans="1:10" ht="15.75" customHeight="1" x14ac:dyDescent="0.3">
      <c r="A163" s="13">
        <v>45817</v>
      </c>
      <c r="B163" s="14" t="s">
        <v>28</v>
      </c>
      <c r="C163" s="15">
        <v>1183</v>
      </c>
      <c r="D163" s="15">
        <v>248</v>
      </c>
      <c r="E163" s="15">
        <v>226881</v>
      </c>
      <c r="F163" s="16">
        <v>5.17</v>
      </c>
      <c r="G163" s="17">
        <v>14534</v>
      </c>
      <c r="H163" s="18">
        <f t="shared" si="6"/>
        <v>5.1699999999999996E-2</v>
      </c>
      <c r="I163" s="5">
        <f t="shared" si="7"/>
        <v>4.1211031333606603E-3</v>
      </c>
      <c r="J163" s="2">
        <f t="shared" si="8"/>
        <v>935</v>
      </c>
    </row>
    <row r="164" spans="1:10" ht="15.75" customHeight="1" x14ac:dyDescent="0.3">
      <c r="A164" s="13">
        <v>45824</v>
      </c>
      <c r="B164" s="14" t="s">
        <v>13</v>
      </c>
      <c r="C164" s="15">
        <v>765</v>
      </c>
      <c r="D164" s="15">
        <v>67</v>
      </c>
      <c r="E164" s="15">
        <v>283537</v>
      </c>
      <c r="F164" s="16">
        <v>6.18</v>
      </c>
      <c r="G164" s="17">
        <v>8182</v>
      </c>
      <c r="H164" s="18">
        <f t="shared" si="6"/>
        <v>6.1799999999999994E-2</v>
      </c>
      <c r="I164" s="5">
        <f t="shared" si="7"/>
        <v>2.4617598408673293E-3</v>
      </c>
      <c r="J164" s="2">
        <f t="shared" si="8"/>
        <v>698</v>
      </c>
    </row>
    <row r="165" spans="1:10" ht="15.75" customHeight="1" x14ac:dyDescent="0.3">
      <c r="A165" s="13">
        <v>45824</v>
      </c>
      <c r="B165" s="14" t="s">
        <v>22</v>
      </c>
      <c r="C165" s="15">
        <v>540</v>
      </c>
      <c r="D165" s="15">
        <v>215</v>
      </c>
      <c r="E165" s="15">
        <v>62837</v>
      </c>
      <c r="F165" s="16">
        <v>5.3</v>
      </c>
      <c r="G165" s="17">
        <v>10615</v>
      </c>
      <c r="H165" s="18">
        <f t="shared" si="6"/>
        <v>5.2999999999999999E-2</v>
      </c>
      <c r="I165" s="5">
        <f t="shared" si="7"/>
        <v>5.1721119722456512E-3</v>
      </c>
      <c r="J165" s="2">
        <f t="shared" si="8"/>
        <v>325</v>
      </c>
    </row>
    <row r="166" spans="1:10" ht="15.75" customHeight="1" x14ac:dyDescent="0.3">
      <c r="A166" s="13">
        <v>45824</v>
      </c>
      <c r="B166" s="14" t="s">
        <v>28</v>
      </c>
      <c r="C166" s="15">
        <v>1145</v>
      </c>
      <c r="D166" s="15">
        <v>151</v>
      </c>
      <c r="E166" s="15">
        <v>182759</v>
      </c>
      <c r="F166" s="16">
        <v>5.99</v>
      </c>
      <c r="G166" s="17">
        <v>20109</v>
      </c>
      <c r="H166" s="18">
        <f t="shared" si="6"/>
        <v>5.9900000000000002E-2</v>
      </c>
      <c r="I166" s="5">
        <f t="shared" si="7"/>
        <v>5.4388566363352828E-3</v>
      </c>
      <c r="J166" s="2">
        <f t="shared" si="8"/>
        <v>994</v>
      </c>
    </row>
    <row r="167" spans="1:10" ht="15.75" customHeight="1" x14ac:dyDescent="0.3">
      <c r="A167" s="13">
        <v>45831</v>
      </c>
      <c r="B167" s="14" t="s">
        <v>13</v>
      </c>
      <c r="C167" s="15">
        <v>564</v>
      </c>
      <c r="D167" s="15">
        <v>244</v>
      </c>
      <c r="E167" s="15">
        <v>279405</v>
      </c>
      <c r="F167" s="16">
        <v>8.43</v>
      </c>
      <c r="G167" s="17">
        <v>26024</v>
      </c>
      <c r="H167" s="18">
        <f t="shared" si="6"/>
        <v>8.43E-2</v>
      </c>
      <c r="I167" s="5">
        <f t="shared" si="7"/>
        <v>1.1452908859898713E-3</v>
      </c>
      <c r="J167" s="2">
        <f t="shared" si="8"/>
        <v>320</v>
      </c>
    </row>
    <row r="168" spans="1:10" ht="15.75" customHeight="1" x14ac:dyDescent="0.3">
      <c r="A168" s="13">
        <v>45831</v>
      </c>
      <c r="B168" s="14" t="s">
        <v>22</v>
      </c>
      <c r="C168" s="15">
        <v>668</v>
      </c>
      <c r="D168" s="15">
        <v>124</v>
      </c>
      <c r="E168" s="15">
        <v>257485</v>
      </c>
      <c r="F168" s="16">
        <v>7.55</v>
      </c>
      <c r="G168" s="17">
        <v>26730</v>
      </c>
      <c r="H168" s="18">
        <f t="shared" si="6"/>
        <v>7.5499999999999998E-2</v>
      </c>
      <c r="I168" s="5">
        <f t="shared" si="7"/>
        <v>2.1127444317144686E-3</v>
      </c>
      <c r="J168" s="2">
        <f t="shared" si="8"/>
        <v>544</v>
      </c>
    </row>
    <row r="169" spans="1:10" ht="15.75" customHeight="1" x14ac:dyDescent="0.3">
      <c r="A169" s="13">
        <v>45831</v>
      </c>
      <c r="B169" s="14" t="s">
        <v>28</v>
      </c>
      <c r="C169" s="15">
        <v>761</v>
      </c>
      <c r="D169" s="15">
        <v>241</v>
      </c>
      <c r="E169" s="15">
        <v>154977</v>
      </c>
      <c r="F169" s="16">
        <v>5.63</v>
      </c>
      <c r="G169" s="17">
        <v>10563</v>
      </c>
      <c r="H169" s="18">
        <f t="shared" si="6"/>
        <v>5.6299999999999996E-2</v>
      </c>
      <c r="I169" s="5">
        <f t="shared" si="7"/>
        <v>3.3553365983339462E-3</v>
      </c>
      <c r="J169" s="2">
        <f t="shared" si="8"/>
        <v>520</v>
      </c>
    </row>
    <row r="170" spans="1:10" ht="15.75" customHeight="1" x14ac:dyDescent="0.3">
      <c r="A170" s="13">
        <v>45838</v>
      </c>
      <c r="B170" s="14" t="s">
        <v>13</v>
      </c>
      <c r="C170" s="15">
        <v>593</v>
      </c>
      <c r="D170" s="15">
        <v>108</v>
      </c>
      <c r="E170" s="15">
        <v>216500</v>
      </c>
      <c r="F170" s="16">
        <v>4.71</v>
      </c>
      <c r="G170" s="17">
        <v>27575</v>
      </c>
      <c r="H170" s="18">
        <f t="shared" si="6"/>
        <v>4.7100000000000003E-2</v>
      </c>
      <c r="I170" s="5">
        <f t="shared" si="7"/>
        <v>2.2401847575057735E-3</v>
      </c>
      <c r="J170" s="2">
        <f t="shared" si="8"/>
        <v>485</v>
      </c>
    </row>
    <row r="171" spans="1:10" ht="15.75" customHeight="1" x14ac:dyDescent="0.3">
      <c r="A171" s="13">
        <v>45838</v>
      </c>
      <c r="B171" s="14" t="s">
        <v>22</v>
      </c>
      <c r="C171" s="15">
        <v>1349</v>
      </c>
      <c r="D171" s="15">
        <v>115</v>
      </c>
      <c r="E171" s="15">
        <v>102102</v>
      </c>
      <c r="F171" s="16">
        <v>5.28</v>
      </c>
      <c r="G171" s="17">
        <v>14479</v>
      </c>
      <c r="H171" s="18">
        <f t="shared" si="6"/>
        <v>5.28E-2</v>
      </c>
      <c r="I171" s="5">
        <f t="shared" si="7"/>
        <v>1.208595326242385E-2</v>
      </c>
      <c r="J171" s="2">
        <f t="shared" si="8"/>
        <v>1234</v>
      </c>
    </row>
    <row r="172" spans="1:10" ht="15.75" customHeight="1" x14ac:dyDescent="0.3">
      <c r="A172" s="13">
        <v>45838</v>
      </c>
      <c r="B172" s="14" t="s">
        <v>28</v>
      </c>
      <c r="C172" s="15">
        <v>693</v>
      </c>
      <c r="D172" s="15">
        <v>97</v>
      </c>
      <c r="E172" s="15">
        <v>92025</v>
      </c>
      <c r="F172" s="16">
        <v>5.95</v>
      </c>
      <c r="G172" s="17">
        <v>15915</v>
      </c>
      <c r="H172" s="18">
        <f t="shared" si="6"/>
        <v>5.9500000000000004E-2</v>
      </c>
      <c r="I172" s="5">
        <f t="shared" si="7"/>
        <v>6.4765009508285796E-3</v>
      </c>
      <c r="J172" s="2">
        <f t="shared" si="8"/>
        <v>596</v>
      </c>
    </row>
    <row r="173" spans="1:10" ht="15.75" customHeight="1" x14ac:dyDescent="0.3">
      <c r="A173" s="13">
        <v>45845</v>
      </c>
      <c r="B173" s="14" t="s">
        <v>13</v>
      </c>
      <c r="C173" s="15">
        <v>974</v>
      </c>
      <c r="D173" s="15">
        <v>143</v>
      </c>
      <c r="E173" s="15">
        <v>247965</v>
      </c>
      <c r="F173" s="16">
        <v>9.98</v>
      </c>
      <c r="G173" s="17">
        <v>12767</v>
      </c>
      <c r="H173" s="18">
        <f t="shared" si="6"/>
        <v>9.98E-2</v>
      </c>
      <c r="I173" s="5">
        <f t="shared" si="7"/>
        <v>3.3512794144334888E-3</v>
      </c>
      <c r="J173" s="2">
        <f t="shared" si="8"/>
        <v>831</v>
      </c>
    </row>
    <row r="174" spans="1:10" ht="15.75" customHeight="1" x14ac:dyDescent="0.3">
      <c r="A174" s="13">
        <v>45845</v>
      </c>
      <c r="B174" s="14" t="s">
        <v>22</v>
      </c>
      <c r="C174" s="15">
        <v>1155</v>
      </c>
      <c r="D174" s="15">
        <v>122</v>
      </c>
      <c r="E174" s="15">
        <v>387352</v>
      </c>
      <c r="F174" s="16">
        <v>9.93</v>
      </c>
      <c r="G174" s="17">
        <v>12170</v>
      </c>
      <c r="H174" s="18">
        <f t="shared" si="6"/>
        <v>9.9299999999999999E-2</v>
      </c>
      <c r="I174" s="5">
        <f t="shared" si="7"/>
        <v>2.6668250067122413E-3</v>
      </c>
      <c r="J174" s="2">
        <f t="shared" si="8"/>
        <v>1033</v>
      </c>
    </row>
    <row r="175" spans="1:10" ht="15.75" customHeight="1" x14ac:dyDescent="0.3">
      <c r="A175" s="13">
        <v>45845</v>
      </c>
      <c r="B175" s="14" t="s">
        <v>28</v>
      </c>
      <c r="C175" s="15">
        <v>1051</v>
      </c>
      <c r="D175" s="15">
        <v>246</v>
      </c>
      <c r="E175" s="15">
        <v>253985</v>
      </c>
      <c r="F175" s="16">
        <v>9.08</v>
      </c>
      <c r="G175" s="17">
        <v>7245</v>
      </c>
      <c r="H175" s="18">
        <f t="shared" si="6"/>
        <v>9.0800000000000006E-2</v>
      </c>
      <c r="I175" s="5">
        <f t="shared" si="7"/>
        <v>3.1694785125105812E-3</v>
      </c>
      <c r="J175" s="2">
        <f t="shared" si="8"/>
        <v>805</v>
      </c>
    </row>
    <row r="176" spans="1:10" ht="15.75" customHeight="1" x14ac:dyDescent="0.3">
      <c r="A176" s="13">
        <v>45852</v>
      </c>
      <c r="B176" s="14" t="s">
        <v>13</v>
      </c>
      <c r="C176" s="15">
        <v>1457</v>
      </c>
      <c r="D176" s="15">
        <v>183</v>
      </c>
      <c r="E176" s="15">
        <v>129640</v>
      </c>
      <c r="F176" s="16">
        <v>7.98</v>
      </c>
      <c r="G176" s="17">
        <v>12985</v>
      </c>
      <c r="H176" s="18">
        <f t="shared" si="6"/>
        <v>7.980000000000001E-2</v>
      </c>
      <c r="I176" s="5">
        <f t="shared" si="7"/>
        <v>9.827213822894169E-3</v>
      </c>
      <c r="J176" s="2">
        <f t="shared" si="8"/>
        <v>1274</v>
      </c>
    </row>
    <row r="177" spans="1:10" ht="15.75" customHeight="1" x14ac:dyDescent="0.3">
      <c r="A177" s="13">
        <v>45852</v>
      </c>
      <c r="B177" s="14" t="s">
        <v>22</v>
      </c>
      <c r="C177" s="15">
        <v>670</v>
      </c>
      <c r="D177" s="15">
        <v>242</v>
      </c>
      <c r="E177" s="15">
        <v>281913</v>
      </c>
      <c r="F177" s="16">
        <v>9.6199999999999992</v>
      </c>
      <c r="G177" s="17">
        <v>16377</v>
      </c>
      <c r="H177" s="18">
        <f t="shared" si="6"/>
        <v>9.6199999999999994E-2</v>
      </c>
      <c r="I177" s="5">
        <f t="shared" si="7"/>
        <v>1.5181988769584942E-3</v>
      </c>
      <c r="J177" s="2">
        <f t="shared" si="8"/>
        <v>428</v>
      </c>
    </row>
    <row r="178" spans="1:10" ht="15.75" customHeight="1" x14ac:dyDescent="0.3">
      <c r="A178" s="13">
        <v>45852</v>
      </c>
      <c r="B178" s="14" t="s">
        <v>28</v>
      </c>
      <c r="C178" s="15">
        <v>1111</v>
      </c>
      <c r="D178" s="15">
        <v>159</v>
      </c>
      <c r="E178" s="15">
        <v>360770</v>
      </c>
      <c r="F178" s="16">
        <v>8.7100000000000009</v>
      </c>
      <c r="G178" s="17">
        <v>11453</v>
      </c>
      <c r="H178" s="18">
        <f t="shared" si="6"/>
        <v>8.7100000000000011E-2</v>
      </c>
      <c r="I178" s="5">
        <f t="shared" si="7"/>
        <v>2.6388003437092886E-3</v>
      </c>
      <c r="J178" s="2">
        <f t="shared" si="8"/>
        <v>952</v>
      </c>
    </row>
    <row r="179" spans="1:10" ht="15.75" customHeight="1" x14ac:dyDescent="0.3">
      <c r="A179" s="13">
        <v>45859</v>
      </c>
      <c r="B179" s="14" t="s">
        <v>13</v>
      </c>
      <c r="C179" s="15">
        <v>1197</v>
      </c>
      <c r="D179" s="15">
        <v>246</v>
      </c>
      <c r="E179" s="15">
        <v>127273</v>
      </c>
      <c r="F179" s="16">
        <v>6.69</v>
      </c>
      <c r="G179" s="17">
        <v>12323</v>
      </c>
      <c r="H179" s="18">
        <f t="shared" si="6"/>
        <v>6.6900000000000001E-2</v>
      </c>
      <c r="I179" s="5">
        <f t="shared" si="7"/>
        <v>7.4721268454424738E-3</v>
      </c>
      <c r="J179" s="2">
        <f t="shared" si="8"/>
        <v>951</v>
      </c>
    </row>
    <row r="180" spans="1:10" ht="15.75" customHeight="1" x14ac:dyDescent="0.3">
      <c r="A180" s="13">
        <v>45859</v>
      </c>
      <c r="B180" s="14" t="s">
        <v>22</v>
      </c>
      <c r="C180" s="15">
        <v>754</v>
      </c>
      <c r="D180" s="15">
        <v>150</v>
      </c>
      <c r="E180" s="15">
        <v>189622</v>
      </c>
      <c r="F180" s="16">
        <v>4.25</v>
      </c>
      <c r="G180" s="17">
        <v>11911</v>
      </c>
      <c r="H180" s="18">
        <f t="shared" si="6"/>
        <v>4.2500000000000003E-2</v>
      </c>
      <c r="I180" s="5">
        <f t="shared" si="7"/>
        <v>3.1852844079273504E-3</v>
      </c>
      <c r="J180" s="2">
        <f t="shared" si="8"/>
        <v>604</v>
      </c>
    </row>
    <row r="181" spans="1:10" ht="15.75" customHeight="1" x14ac:dyDescent="0.3">
      <c r="A181" s="13">
        <v>45859</v>
      </c>
      <c r="B181" s="14" t="s">
        <v>28</v>
      </c>
      <c r="C181" s="15">
        <v>1246</v>
      </c>
      <c r="D181" s="15">
        <v>107</v>
      </c>
      <c r="E181" s="15">
        <v>350949</v>
      </c>
      <c r="F181" s="16">
        <v>4.9800000000000004</v>
      </c>
      <c r="G181" s="17">
        <v>27809</v>
      </c>
      <c r="H181" s="18">
        <f t="shared" si="6"/>
        <v>4.9800000000000004E-2</v>
      </c>
      <c r="I181" s="5">
        <f t="shared" si="7"/>
        <v>3.2454858113287115E-3</v>
      </c>
      <c r="J181" s="2">
        <f t="shared" si="8"/>
        <v>1139</v>
      </c>
    </row>
    <row r="182" spans="1:10" ht="15.75" customHeight="1" x14ac:dyDescent="0.3">
      <c r="A182" s="13">
        <v>45866</v>
      </c>
      <c r="B182" s="14" t="s">
        <v>13</v>
      </c>
      <c r="C182" s="15">
        <v>780</v>
      </c>
      <c r="D182" s="15">
        <v>213</v>
      </c>
      <c r="E182" s="15">
        <v>121431</v>
      </c>
      <c r="F182" s="16">
        <v>4.97</v>
      </c>
      <c r="G182" s="17">
        <v>21464</v>
      </c>
      <c r="H182" s="18">
        <f t="shared" si="6"/>
        <v>4.9699999999999994E-2</v>
      </c>
      <c r="I182" s="5">
        <f t="shared" si="7"/>
        <v>4.669318378338316E-3</v>
      </c>
      <c r="J182" s="2">
        <f t="shared" si="8"/>
        <v>567</v>
      </c>
    </row>
    <row r="183" spans="1:10" ht="15.75" customHeight="1" x14ac:dyDescent="0.3">
      <c r="A183" s="13">
        <v>45866</v>
      </c>
      <c r="B183" s="14" t="s">
        <v>22</v>
      </c>
      <c r="C183" s="15">
        <v>1425</v>
      </c>
      <c r="D183" s="15">
        <v>143</v>
      </c>
      <c r="E183" s="15">
        <v>116742</v>
      </c>
      <c r="F183" s="16">
        <v>3.71</v>
      </c>
      <c r="G183" s="17">
        <v>27126</v>
      </c>
      <c r="H183" s="18">
        <f t="shared" si="6"/>
        <v>3.7100000000000001E-2</v>
      </c>
      <c r="I183" s="5">
        <f t="shared" si="7"/>
        <v>1.0981480529715098E-2</v>
      </c>
      <c r="J183" s="2">
        <f t="shared" si="8"/>
        <v>1282</v>
      </c>
    </row>
    <row r="184" spans="1:10" ht="15.75" customHeight="1" x14ac:dyDescent="0.3">
      <c r="A184" s="13">
        <v>45866</v>
      </c>
      <c r="B184" s="14" t="s">
        <v>28</v>
      </c>
      <c r="C184" s="15">
        <v>1490</v>
      </c>
      <c r="D184" s="15">
        <v>103</v>
      </c>
      <c r="E184" s="15">
        <v>81184</v>
      </c>
      <c r="F184" s="16">
        <v>7.79</v>
      </c>
      <c r="G184" s="17">
        <v>10681</v>
      </c>
      <c r="H184" s="18">
        <f t="shared" si="6"/>
        <v>7.7899999999999997E-2</v>
      </c>
      <c r="I184" s="5">
        <f t="shared" si="7"/>
        <v>1.7084647221127316E-2</v>
      </c>
      <c r="J184" s="2">
        <f t="shared" si="8"/>
        <v>1387</v>
      </c>
    </row>
    <row r="185" spans="1:10" ht="15.75" customHeight="1" x14ac:dyDescent="0.3">
      <c r="A185" s="13">
        <v>45873</v>
      </c>
      <c r="B185" s="14" t="s">
        <v>13</v>
      </c>
      <c r="C185" s="15">
        <v>949</v>
      </c>
      <c r="D185" s="15">
        <v>282</v>
      </c>
      <c r="E185" s="15">
        <v>87126</v>
      </c>
      <c r="F185" s="16">
        <v>4.96</v>
      </c>
      <c r="G185" s="17">
        <v>5413</v>
      </c>
      <c r="H185" s="18">
        <f t="shared" si="6"/>
        <v>4.9599999999999998E-2</v>
      </c>
      <c r="I185" s="5">
        <f t="shared" si="7"/>
        <v>7.6555792759910937E-3</v>
      </c>
      <c r="J185" s="2">
        <f t="shared" si="8"/>
        <v>667</v>
      </c>
    </row>
    <row r="186" spans="1:10" ht="15.75" customHeight="1" x14ac:dyDescent="0.3">
      <c r="A186" s="13">
        <v>45873</v>
      </c>
      <c r="B186" s="14" t="s">
        <v>22</v>
      </c>
      <c r="C186" s="15">
        <v>640</v>
      </c>
      <c r="D186" s="15">
        <v>141</v>
      </c>
      <c r="E186" s="15">
        <v>267546</v>
      </c>
      <c r="F186" s="16">
        <v>8.58</v>
      </c>
      <c r="G186" s="17">
        <v>25058</v>
      </c>
      <c r="H186" s="18">
        <f t="shared" si="6"/>
        <v>8.5800000000000001E-2</v>
      </c>
      <c r="I186" s="5">
        <f t="shared" si="7"/>
        <v>1.8650998332996943E-3</v>
      </c>
      <c r="J186" s="2">
        <f t="shared" si="8"/>
        <v>499</v>
      </c>
    </row>
    <row r="187" spans="1:10" ht="15.75" customHeight="1" x14ac:dyDescent="0.3">
      <c r="A187" s="13">
        <v>45873</v>
      </c>
      <c r="B187" s="14" t="s">
        <v>28</v>
      </c>
      <c r="C187" s="15">
        <v>616</v>
      </c>
      <c r="D187" s="15">
        <v>93</v>
      </c>
      <c r="E187" s="15">
        <v>133082</v>
      </c>
      <c r="F187" s="16">
        <v>8.51</v>
      </c>
      <c r="G187" s="17">
        <v>18303</v>
      </c>
      <c r="H187" s="18">
        <f t="shared" si="6"/>
        <v>8.5099999999999995E-2</v>
      </c>
      <c r="I187" s="5">
        <f t="shared" si="7"/>
        <v>3.9299078763469142E-3</v>
      </c>
      <c r="J187" s="2">
        <f t="shared" si="8"/>
        <v>523</v>
      </c>
    </row>
    <row r="188" spans="1:10" ht="15.75" customHeight="1" x14ac:dyDescent="0.3">
      <c r="A188" s="13">
        <v>45880</v>
      </c>
      <c r="B188" s="14" t="s">
        <v>13</v>
      </c>
      <c r="C188" s="15">
        <v>1080</v>
      </c>
      <c r="D188" s="15">
        <v>184</v>
      </c>
      <c r="E188" s="15">
        <v>340557</v>
      </c>
      <c r="F188" s="16">
        <v>5.41</v>
      </c>
      <c r="G188" s="17">
        <v>5526</v>
      </c>
      <c r="H188" s="18">
        <f t="shared" si="6"/>
        <v>5.4100000000000002E-2</v>
      </c>
      <c r="I188" s="5">
        <f t="shared" si="7"/>
        <v>2.6309839468870114E-3</v>
      </c>
      <c r="J188" s="2">
        <f t="shared" si="8"/>
        <v>896</v>
      </c>
    </row>
    <row r="189" spans="1:10" ht="15.75" customHeight="1" x14ac:dyDescent="0.3">
      <c r="A189" s="13">
        <v>45880</v>
      </c>
      <c r="B189" s="14" t="s">
        <v>22</v>
      </c>
      <c r="C189" s="15">
        <v>938</v>
      </c>
      <c r="D189" s="15">
        <v>236</v>
      </c>
      <c r="E189" s="15">
        <v>116472</v>
      </c>
      <c r="F189" s="16">
        <v>8.7200000000000006</v>
      </c>
      <c r="G189" s="17">
        <v>17460</v>
      </c>
      <c r="H189" s="18">
        <f t="shared" si="6"/>
        <v>8.72E-2</v>
      </c>
      <c r="I189" s="5">
        <f t="shared" si="7"/>
        <v>6.0271996703070265E-3</v>
      </c>
      <c r="J189" s="2">
        <f t="shared" si="8"/>
        <v>702</v>
      </c>
    </row>
    <row r="190" spans="1:10" ht="15.75" customHeight="1" x14ac:dyDescent="0.3">
      <c r="A190" s="13">
        <v>45880</v>
      </c>
      <c r="B190" s="14" t="s">
        <v>28</v>
      </c>
      <c r="C190" s="15">
        <v>1007</v>
      </c>
      <c r="D190" s="15">
        <v>258</v>
      </c>
      <c r="E190" s="15">
        <v>113412</v>
      </c>
      <c r="F190" s="16">
        <v>7.71</v>
      </c>
      <c r="G190" s="17">
        <v>14475</v>
      </c>
      <c r="H190" s="18">
        <f t="shared" si="6"/>
        <v>7.7100000000000002E-2</v>
      </c>
      <c r="I190" s="5">
        <f t="shared" si="7"/>
        <v>6.6042394102916796E-3</v>
      </c>
      <c r="J190" s="2">
        <f t="shared" si="8"/>
        <v>749</v>
      </c>
    </row>
    <row r="191" spans="1:10" ht="15.75" customHeight="1" x14ac:dyDescent="0.3">
      <c r="A191" s="13">
        <v>45887</v>
      </c>
      <c r="B191" s="14" t="s">
        <v>13</v>
      </c>
      <c r="C191" s="15">
        <v>541</v>
      </c>
      <c r="D191" s="15">
        <v>208</v>
      </c>
      <c r="E191" s="15">
        <v>157547</v>
      </c>
      <c r="F191" s="16">
        <v>8.35</v>
      </c>
      <c r="G191" s="17">
        <v>20162</v>
      </c>
      <c r="H191" s="18">
        <f t="shared" si="6"/>
        <v>8.3499999999999991E-2</v>
      </c>
      <c r="I191" s="5">
        <f t="shared" si="7"/>
        <v>2.1136549728017671E-3</v>
      </c>
      <c r="J191" s="2">
        <f t="shared" si="8"/>
        <v>333</v>
      </c>
    </row>
    <row r="192" spans="1:10" ht="15.75" customHeight="1" x14ac:dyDescent="0.3">
      <c r="A192" s="13">
        <v>45887</v>
      </c>
      <c r="B192" s="14" t="s">
        <v>22</v>
      </c>
      <c r="C192" s="15">
        <v>745</v>
      </c>
      <c r="D192" s="15">
        <v>98</v>
      </c>
      <c r="E192" s="15">
        <v>354816</v>
      </c>
      <c r="F192" s="16">
        <v>4.03</v>
      </c>
      <c r="G192" s="17">
        <v>17103</v>
      </c>
      <c r="H192" s="18">
        <f t="shared" si="6"/>
        <v>4.0300000000000002E-2</v>
      </c>
      <c r="I192" s="5">
        <f t="shared" si="7"/>
        <v>1.823480339105339E-3</v>
      </c>
      <c r="J192" s="2">
        <f t="shared" si="8"/>
        <v>647</v>
      </c>
    </row>
    <row r="193" spans="1:13" ht="15.75" customHeight="1" x14ac:dyDescent="0.3">
      <c r="A193" s="13">
        <v>45887</v>
      </c>
      <c r="B193" s="14" t="s">
        <v>28</v>
      </c>
      <c r="C193" s="15">
        <v>936</v>
      </c>
      <c r="D193" s="15">
        <v>97</v>
      </c>
      <c r="E193" s="15">
        <v>151799</v>
      </c>
      <c r="F193" s="16">
        <v>9.3699999999999992</v>
      </c>
      <c r="G193" s="17">
        <v>15461</v>
      </c>
      <c r="H193" s="18">
        <f t="shared" si="6"/>
        <v>9.3699999999999992E-2</v>
      </c>
      <c r="I193" s="5">
        <f t="shared" si="7"/>
        <v>5.5270456327116777E-3</v>
      </c>
      <c r="J193" s="2">
        <f t="shared" si="8"/>
        <v>839</v>
      </c>
    </row>
    <row r="194" spans="1:13" ht="15.75" customHeight="1" x14ac:dyDescent="0.3">
      <c r="A194" s="13">
        <v>45894</v>
      </c>
      <c r="B194" s="14" t="s">
        <v>13</v>
      </c>
      <c r="C194" s="15">
        <v>1183</v>
      </c>
      <c r="D194" s="15">
        <v>223</v>
      </c>
      <c r="E194" s="15">
        <v>143811</v>
      </c>
      <c r="F194" s="16">
        <v>6.07</v>
      </c>
      <c r="G194" s="17">
        <v>22103</v>
      </c>
      <c r="H194" s="18">
        <f t="shared" si="6"/>
        <v>6.0700000000000004E-2</v>
      </c>
      <c r="I194" s="5">
        <f t="shared" si="7"/>
        <v>6.6754281661347186E-3</v>
      </c>
      <c r="J194" s="2">
        <f t="shared" si="8"/>
        <v>960</v>
      </c>
    </row>
    <row r="195" spans="1:13" ht="15.75" customHeight="1" x14ac:dyDescent="0.3">
      <c r="A195" s="13">
        <v>45894</v>
      </c>
      <c r="B195" s="14" t="s">
        <v>22</v>
      </c>
      <c r="C195" s="15">
        <v>1413</v>
      </c>
      <c r="D195" s="15">
        <v>245</v>
      </c>
      <c r="E195" s="15">
        <v>296450</v>
      </c>
      <c r="F195" s="16">
        <v>6.52</v>
      </c>
      <c r="G195" s="17">
        <v>11625</v>
      </c>
      <c r="H195" s="18">
        <f t="shared" ref="H195:H201" si="9">F195/100</f>
        <v>6.5199999999999994E-2</v>
      </c>
      <c r="I195" s="5">
        <f t="shared" ref="I195:I201" si="10">(C195-D195)/E195</f>
        <v>3.9399561477483558E-3</v>
      </c>
      <c r="J195" s="2">
        <f t="shared" ref="J195:J201" si="11">C195-D195</f>
        <v>1168</v>
      </c>
    </row>
    <row r="196" spans="1:13" ht="15.75" customHeight="1" x14ac:dyDescent="0.3">
      <c r="A196" s="13">
        <v>45894</v>
      </c>
      <c r="B196" s="14" t="s">
        <v>28</v>
      </c>
      <c r="C196" s="15">
        <v>791</v>
      </c>
      <c r="D196" s="15">
        <v>273</v>
      </c>
      <c r="E196" s="15">
        <v>144049</v>
      </c>
      <c r="F196" s="16">
        <v>3.08</v>
      </c>
      <c r="G196" s="17">
        <v>5281</v>
      </c>
      <c r="H196" s="18">
        <f t="shared" si="9"/>
        <v>3.0800000000000001E-2</v>
      </c>
      <c r="I196" s="5">
        <f t="shared" si="10"/>
        <v>3.5959985838152297E-3</v>
      </c>
      <c r="J196" s="2">
        <f t="shared" si="11"/>
        <v>518</v>
      </c>
    </row>
    <row r="197" spans="1:13" ht="15.75" customHeight="1" x14ac:dyDescent="0.3">
      <c r="A197" s="13">
        <v>45901</v>
      </c>
      <c r="B197" s="14" t="s">
        <v>13</v>
      </c>
      <c r="C197" s="15">
        <v>1052</v>
      </c>
      <c r="D197" s="15">
        <v>180</v>
      </c>
      <c r="E197" s="15">
        <v>272534</v>
      </c>
      <c r="F197" s="16">
        <v>5.34</v>
      </c>
      <c r="G197" s="17">
        <v>13424</v>
      </c>
      <c r="H197" s="18">
        <f t="shared" si="9"/>
        <v>5.3399999999999996E-2</v>
      </c>
      <c r="I197" s="5">
        <f t="shared" si="10"/>
        <v>3.1996007837554212E-3</v>
      </c>
      <c r="J197" s="2">
        <f t="shared" si="11"/>
        <v>872</v>
      </c>
    </row>
    <row r="198" spans="1:13" ht="15.75" customHeight="1" x14ac:dyDescent="0.3">
      <c r="A198" s="13">
        <v>45901</v>
      </c>
      <c r="B198" s="14" t="s">
        <v>22</v>
      </c>
      <c r="C198" s="15">
        <v>572</v>
      </c>
      <c r="D198" s="15">
        <v>270</v>
      </c>
      <c r="E198" s="15">
        <v>82265</v>
      </c>
      <c r="F198" s="16">
        <v>3.65</v>
      </c>
      <c r="G198" s="17">
        <v>13140</v>
      </c>
      <c r="H198" s="18">
        <f t="shared" si="9"/>
        <v>3.6499999999999998E-2</v>
      </c>
      <c r="I198" s="5">
        <f t="shared" si="10"/>
        <v>3.6710630280192063E-3</v>
      </c>
      <c r="J198" s="2">
        <f t="shared" si="11"/>
        <v>302</v>
      </c>
    </row>
    <row r="199" spans="1:13" ht="15.75" customHeight="1" x14ac:dyDescent="0.3">
      <c r="A199" s="13">
        <v>45901</v>
      </c>
      <c r="B199" s="14" t="s">
        <v>28</v>
      </c>
      <c r="C199" s="15">
        <v>503</v>
      </c>
      <c r="D199" s="15">
        <v>253</v>
      </c>
      <c r="E199" s="15">
        <v>313562</v>
      </c>
      <c r="F199" s="16">
        <v>4.18</v>
      </c>
      <c r="G199" s="17">
        <v>19538</v>
      </c>
      <c r="H199" s="18">
        <f t="shared" si="9"/>
        <v>4.1799999999999997E-2</v>
      </c>
      <c r="I199" s="5">
        <f t="shared" si="10"/>
        <v>7.9729048800556194E-4</v>
      </c>
      <c r="J199" s="2">
        <f t="shared" si="11"/>
        <v>250</v>
      </c>
    </row>
    <row r="200" spans="1:13" ht="15.75" customHeight="1" x14ac:dyDescent="0.3">
      <c r="A200" s="13">
        <v>45908</v>
      </c>
      <c r="B200" s="14" t="s">
        <v>13</v>
      </c>
      <c r="C200" s="15">
        <v>1017</v>
      </c>
      <c r="D200" s="15">
        <v>197</v>
      </c>
      <c r="E200" s="15">
        <v>89918</v>
      </c>
      <c r="F200" s="16">
        <v>3.91</v>
      </c>
      <c r="G200" s="17">
        <v>7881</v>
      </c>
      <c r="H200" s="18">
        <f t="shared" si="9"/>
        <v>3.9100000000000003E-2</v>
      </c>
      <c r="I200" s="5">
        <f t="shared" si="10"/>
        <v>9.1194199159233963E-3</v>
      </c>
      <c r="J200" s="2">
        <f t="shared" si="11"/>
        <v>820</v>
      </c>
    </row>
    <row r="201" spans="1:13" ht="15.75" customHeight="1" x14ac:dyDescent="0.3">
      <c r="A201" s="13">
        <v>45908</v>
      </c>
      <c r="B201" s="14" t="s">
        <v>22</v>
      </c>
      <c r="C201" s="15">
        <v>860</v>
      </c>
      <c r="D201" s="15">
        <v>244</v>
      </c>
      <c r="E201" s="15">
        <v>348686</v>
      </c>
      <c r="F201" s="16">
        <v>5.12</v>
      </c>
      <c r="G201" s="17">
        <v>11418</v>
      </c>
      <c r="H201" s="18">
        <f t="shared" si="9"/>
        <v>5.1200000000000002E-2</v>
      </c>
      <c r="I201" s="5">
        <f t="shared" si="10"/>
        <v>1.7666324429429343E-3</v>
      </c>
      <c r="J201" s="2">
        <f t="shared" si="11"/>
        <v>616</v>
      </c>
    </row>
    <row r="202" spans="1:13" ht="15.75" customHeight="1" x14ac:dyDescent="0.3">
      <c r="H202" s="18"/>
      <c r="J202" s="68"/>
      <c r="K202" s="67"/>
      <c r="L202" s="67"/>
      <c r="M202" s="67"/>
    </row>
    <row r="203" spans="1:13" ht="15.75" customHeight="1" x14ac:dyDescent="0.3">
      <c r="H203" s="18"/>
      <c r="J203" s="69"/>
      <c r="K203" s="67"/>
      <c r="L203" s="67"/>
      <c r="M203" s="67"/>
    </row>
    <row r="204" spans="1:13" ht="15.75" customHeight="1" x14ac:dyDescent="0.3"/>
    <row r="205" spans="1:13" ht="15.75" customHeight="1" x14ac:dyDescent="0.3">
      <c r="H205" s="66" t="s">
        <v>363</v>
      </c>
    </row>
    <row r="206" spans="1:13" ht="15.75" customHeight="1" x14ac:dyDescent="0.3"/>
    <row r="207" spans="1:13" ht="15.75" customHeight="1" x14ac:dyDescent="0.3"/>
    <row r="208" spans="1:13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sqref="A1:C5"/>
    </sheetView>
  </sheetViews>
  <sheetFormatPr defaultColWidth="14.44140625" defaultRowHeight="15" customHeight="1" x14ac:dyDescent="0.3"/>
  <cols>
    <col min="1" max="1" width="15.5546875" bestFit="1" customWidth="1"/>
    <col min="2" max="3" width="10.33203125" style="1" bestFit="1" customWidth="1"/>
    <col min="4" max="4" width="15.109375" bestFit="1" customWidth="1"/>
    <col min="5" max="5" width="12.77734375" style="3" bestFit="1" customWidth="1"/>
    <col min="6" max="6" width="17.6640625" bestFit="1" customWidth="1"/>
    <col min="7" max="7" width="32.109375" bestFit="1" customWidth="1"/>
    <col min="8" max="9" width="20.109375" bestFit="1" customWidth="1"/>
    <col min="10" max="26" width="8.6640625" customWidth="1"/>
  </cols>
  <sheetData>
    <row r="1" spans="1:8" s="21" customFormat="1" ht="14.4" x14ac:dyDescent="0.3">
      <c r="A1" s="20" t="s">
        <v>11</v>
      </c>
      <c r="B1" s="22" t="s">
        <v>340</v>
      </c>
      <c r="C1" s="22" t="s">
        <v>341</v>
      </c>
      <c r="D1" s="20" t="s">
        <v>342</v>
      </c>
      <c r="E1" s="24" t="s">
        <v>343</v>
      </c>
      <c r="F1" s="20" t="s">
        <v>344</v>
      </c>
      <c r="G1" s="26" t="s">
        <v>353</v>
      </c>
      <c r="H1" s="27" t="s">
        <v>353</v>
      </c>
    </row>
    <row r="2" spans="1:8" ht="14.4" x14ac:dyDescent="0.3">
      <c r="A2" s="19" t="s">
        <v>52</v>
      </c>
      <c r="B2" s="23">
        <v>45458</v>
      </c>
      <c r="C2" s="23">
        <v>45488</v>
      </c>
      <c r="D2" s="19" t="s">
        <v>345</v>
      </c>
      <c r="E2" s="25">
        <v>175000</v>
      </c>
      <c r="F2" s="19" t="s">
        <v>346</v>
      </c>
      <c r="G2" s="19" t="s">
        <v>354</v>
      </c>
      <c r="H2" t="s">
        <v>355</v>
      </c>
    </row>
    <row r="3" spans="1:8" ht="14.4" x14ac:dyDescent="0.3">
      <c r="A3" s="19" t="s">
        <v>49</v>
      </c>
      <c r="B3" s="23">
        <v>45627</v>
      </c>
      <c r="C3" s="23">
        <v>45657</v>
      </c>
      <c r="D3" s="19" t="s">
        <v>347</v>
      </c>
      <c r="E3" s="25">
        <v>225000</v>
      </c>
      <c r="F3" s="19" t="s">
        <v>348</v>
      </c>
      <c r="G3" s="19" t="s">
        <v>354</v>
      </c>
      <c r="H3" t="s">
        <v>36</v>
      </c>
    </row>
    <row r="4" spans="1:8" ht="14.4" x14ac:dyDescent="0.3">
      <c r="A4" s="19" t="s">
        <v>16</v>
      </c>
      <c r="B4" s="23">
        <v>45667</v>
      </c>
      <c r="C4" s="23">
        <v>45698</v>
      </c>
      <c r="D4" s="19" t="s">
        <v>349</v>
      </c>
      <c r="E4" s="25">
        <v>200000</v>
      </c>
      <c r="F4" s="19" t="s">
        <v>350</v>
      </c>
      <c r="G4" s="19" t="s">
        <v>356</v>
      </c>
      <c r="H4" t="s">
        <v>39</v>
      </c>
    </row>
    <row r="5" spans="1:8" ht="14.4" x14ac:dyDescent="0.3">
      <c r="A5" s="19" t="s">
        <v>20</v>
      </c>
      <c r="B5" s="23">
        <v>45717</v>
      </c>
      <c r="C5" s="23">
        <v>45747</v>
      </c>
      <c r="D5" s="19" t="s">
        <v>351</v>
      </c>
      <c r="E5" s="25">
        <v>160000</v>
      </c>
      <c r="F5" s="19" t="s">
        <v>352</v>
      </c>
      <c r="G5" s="19" t="s">
        <v>19</v>
      </c>
      <c r="H5" t="s">
        <v>357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8E4B-5FBB-4460-A862-3FBD93FA61A9}">
  <dimension ref="A1:O484"/>
  <sheetViews>
    <sheetView workbookViewId="0">
      <selection activeCell="E5" sqref="E5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3.44140625" bestFit="1" customWidth="1"/>
    <col min="4" max="4" width="14.5546875" bestFit="1" customWidth="1"/>
    <col min="5" max="5" width="38" bestFit="1" customWidth="1"/>
    <col min="6" max="6" width="18.21875" bestFit="1" customWidth="1"/>
    <col min="7" max="7" width="7.33203125" bestFit="1" customWidth="1"/>
    <col min="8" max="8" width="8.77734375" bestFit="1" customWidth="1"/>
    <col min="9" max="9" width="12.33203125" bestFit="1" customWidth="1"/>
    <col min="10" max="10" width="13.21875" bestFit="1" customWidth="1"/>
    <col min="11" max="11" width="8.33203125" bestFit="1" customWidth="1"/>
    <col min="12" max="12" width="7.88671875" bestFit="1" customWidth="1"/>
    <col min="13" max="13" width="17.77734375" bestFit="1" customWidth="1"/>
    <col min="14" max="14" width="29" style="5" bestFit="1" customWidth="1"/>
    <col min="15" max="15" width="17.21875" bestFit="1" customWidth="1"/>
  </cols>
  <sheetData>
    <row r="1" spans="1:15" x14ac:dyDescent="0.3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362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43" t="s">
        <v>364</v>
      </c>
      <c r="O1" s="31" t="s">
        <v>368</v>
      </c>
    </row>
    <row r="2" spans="1:15" x14ac:dyDescent="0.3">
      <c r="A2" s="32" t="s">
        <v>31</v>
      </c>
      <c r="B2" s="33" t="s">
        <v>22</v>
      </c>
      <c r="C2" s="34">
        <v>45645</v>
      </c>
      <c r="D2" s="33" t="s">
        <v>23</v>
      </c>
      <c r="E2" s="33" t="s">
        <v>32</v>
      </c>
      <c r="F2" s="33"/>
      <c r="G2" s="33">
        <v>4674</v>
      </c>
      <c r="H2" s="33">
        <v>409</v>
      </c>
      <c r="I2" s="33">
        <v>327</v>
      </c>
      <c r="J2" s="33">
        <v>20756</v>
      </c>
      <c r="K2" s="33">
        <v>63599</v>
      </c>
      <c r="L2" s="33">
        <v>212</v>
      </c>
      <c r="M2" s="33" t="s">
        <v>16</v>
      </c>
      <c r="N2" s="44">
        <v>0.26064752360763199</v>
      </c>
      <c r="O2" s="35" t="s">
        <v>39</v>
      </c>
    </row>
    <row r="3" spans="1:15" x14ac:dyDescent="0.3">
      <c r="A3" s="36" t="s">
        <v>31</v>
      </c>
      <c r="B3" s="37" t="s">
        <v>22</v>
      </c>
      <c r="C3" s="38">
        <v>45645</v>
      </c>
      <c r="D3" s="37" t="s">
        <v>23</v>
      </c>
      <c r="E3" s="37" t="s">
        <v>32</v>
      </c>
      <c r="F3" s="37"/>
      <c r="G3" s="37">
        <v>4674</v>
      </c>
      <c r="H3" s="37">
        <v>409</v>
      </c>
      <c r="I3" s="37">
        <v>327</v>
      </c>
      <c r="J3" s="37">
        <v>20756</v>
      </c>
      <c r="K3" s="37">
        <v>63599</v>
      </c>
      <c r="L3" s="37">
        <v>212</v>
      </c>
      <c r="M3" s="37" t="s">
        <v>16</v>
      </c>
      <c r="N3" s="45">
        <v>0.26064752360763199</v>
      </c>
      <c r="O3" s="39" t="s">
        <v>36</v>
      </c>
    </row>
    <row r="4" spans="1:15" x14ac:dyDescent="0.3">
      <c r="A4" s="32" t="s">
        <v>139</v>
      </c>
      <c r="B4" s="33" t="s">
        <v>22</v>
      </c>
      <c r="C4" s="34">
        <v>45677</v>
      </c>
      <c r="D4" s="33" t="s">
        <v>23</v>
      </c>
      <c r="E4" s="33" t="s">
        <v>24</v>
      </c>
      <c r="F4" s="33"/>
      <c r="G4" s="33">
        <v>4619</v>
      </c>
      <c r="H4" s="33">
        <v>272</v>
      </c>
      <c r="I4" s="33">
        <v>57</v>
      </c>
      <c r="J4" s="33">
        <v>21334</v>
      </c>
      <c r="K4" s="33">
        <v>46292</v>
      </c>
      <c r="L4" s="33">
        <v>91</v>
      </c>
      <c r="M4" s="33" t="s">
        <v>16</v>
      </c>
      <c r="N4" s="44">
        <v>0.23193025217961899</v>
      </c>
      <c r="O4" s="35" t="s">
        <v>39</v>
      </c>
    </row>
    <row r="5" spans="1:15" x14ac:dyDescent="0.3">
      <c r="A5" s="36" t="s">
        <v>139</v>
      </c>
      <c r="B5" s="37" t="s">
        <v>22</v>
      </c>
      <c r="C5" s="38">
        <v>45677</v>
      </c>
      <c r="D5" s="37" t="s">
        <v>23</v>
      </c>
      <c r="E5" s="37" t="s">
        <v>24</v>
      </c>
      <c r="F5" s="37"/>
      <c r="G5" s="37">
        <v>4619</v>
      </c>
      <c r="H5" s="37">
        <v>272</v>
      </c>
      <c r="I5" s="37">
        <v>57</v>
      </c>
      <c r="J5" s="37">
        <v>21334</v>
      </c>
      <c r="K5" s="37">
        <v>46292</v>
      </c>
      <c r="L5" s="37">
        <v>91</v>
      </c>
      <c r="M5" s="37" t="s">
        <v>16</v>
      </c>
      <c r="N5" s="45">
        <v>0.23193025217961899</v>
      </c>
      <c r="O5" s="39" t="s">
        <v>36</v>
      </c>
    </row>
    <row r="6" spans="1:15" x14ac:dyDescent="0.3">
      <c r="A6" s="32" t="s">
        <v>219</v>
      </c>
      <c r="B6" s="33" t="s">
        <v>22</v>
      </c>
      <c r="C6" s="34">
        <v>45459</v>
      </c>
      <c r="D6" s="33" t="s">
        <v>23</v>
      </c>
      <c r="E6" s="33" t="s">
        <v>18</v>
      </c>
      <c r="F6" s="33"/>
      <c r="G6" s="33">
        <v>4618</v>
      </c>
      <c r="H6" s="33">
        <v>312</v>
      </c>
      <c r="I6" s="33">
        <v>254</v>
      </c>
      <c r="J6" s="33">
        <v>22571</v>
      </c>
      <c r="K6" s="33">
        <v>29453</v>
      </c>
      <c r="L6" s="33">
        <v>197</v>
      </c>
      <c r="M6" s="33" t="s">
        <v>16</v>
      </c>
      <c r="N6" s="44">
        <v>0.229675246998361</v>
      </c>
      <c r="O6" s="35" t="s">
        <v>355</v>
      </c>
    </row>
    <row r="7" spans="1:15" x14ac:dyDescent="0.3">
      <c r="A7" s="36" t="s">
        <v>219</v>
      </c>
      <c r="B7" s="37" t="s">
        <v>22</v>
      </c>
      <c r="C7" s="38">
        <v>45459</v>
      </c>
      <c r="D7" s="37" t="s">
        <v>23</v>
      </c>
      <c r="E7" s="37" t="s">
        <v>18</v>
      </c>
      <c r="F7" s="37"/>
      <c r="G7" s="37">
        <v>4618</v>
      </c>
      <c r="H7" s="37">
        <v>312</v>
      </c>
      <c r="I7" s="37">
        <v>254</v>
      </c>
      <c r="J7" s="37">
        <v>22571</v>
      </c>
      <c r="K7" s="37">
        <v>29453</v>
      </c>
      <c r="L7" s="37">
        <v>197</v>
      </c>
      <c r="M7" s="37" t="s">
        <v>16</v>
      </c>
      <c r="N7" s="45">
        <v>0.229675246998361</v>
      </c>
      <c r="O7" s="39" t="s">
        <v>36</v>
      </c>
    </row>
    <row r="8" spans="1:15" x14ac:dyDescent="0.3">
      <c r="A8" s="32" t="s">
        <v>312</v>
      </c>
      <c r="B8" s="33" t="s">
        <v>22</v>
      </c>
      <c r="C8" s="34">
        <v>45676</v>
      </c>
      <c r="D8" s="33" t="s">
        <v>23</v>
      </c>
      <c r="E8" s="33" t="s">
        <v>24</v>
      </c>
      <c r="F8" s="33"/>
      <c r="G8" s="33">
        <v>3507</v>
      </c>
      <c r="H8" s="33">
        <v>295</v>
      </c>
      <c r="I8" s="33">
        <v>371</v>
      </c>
      <c r="J8" s="33">
        <v>20410</v>
      </c>
      <c r="K8" s="33">
        <v>53965</v>
      </c>
      <c r="L8" s="33">
        <v>212</v>
      </c>
      <c r="M8" s="33" t="s">
        <v>16</v>
      </c>
      <c r="N8" s="44">
        <v>0.20445859872611499</v>
      </c>
      <c r="O8" s="35" t="s">
        <v>39</v>
      </c>
    </row>
    <row r="9" spans="1:15" x14ac:dyDescent="0.3">
      <c r="A9" s="36" t="s">
        <v>312</v>
      </c>
      <c r="B9" s="37" t="s">
        <v>22</v>
      </c>
      <c r="C9" s="38">
        <v>45676</v>
      </c>
      <c r="D9" s="37" t="s">
        <v>23</v>
      </c>
      <c r="E9" s="37" t="s">
        <v>24</v>
      </c>
      <c r="F9" s="37"/>
      <c r="G9" s="37">
        <v>3507</v>
      </c>
      <c r="H9" s="37">
        <v>295</v>
      </c>
      <c r="I9" s="37">
        <v>371</v>
      </c>
      <c r="J9" s="37">
        <v>20410</v>
      </c>
      <c r="K9" s="37">
        <v>53965</v>
      </c>
      <c r="L9" s="37">
        <v>212</v>
      </c>
      <c r="M9" s="37" t="s">
        <v>16</v>
      </c>
      <c r="N9" s="45">
        <v>0.20445859872611499</v>
      </c>
      <c r="O9" s="39" t="s">
        <v>36</v>
      </c>
    </row>
    <row r="10" spans="1:15" x14ac:dyDescent="0.3">
      <c r="A10" s="32" t="s">
        <v>83</v>
      </c>
      <c r="B10" s="33" t="s">
        <v>22</v>
      </c>
      <c r="C10" s="34">
        <v>45769</v>
      </c>
      <c r="D10" s="33" t="s">
        <v>14</v>
      </c>
      <c r="E10" s="33" t="s">
        <v>15</v>
      </c>
      <c r="F10" s="33"/>
      <c r="G10" s="33">
        <v>4401</v>
      </c>
      <c r="H10" s="33">
        <v>421</v>
      </c>
      <c r="I10" s="33">
        <v>216</v>
      </c>
      <c r="J10" s="33">
        <v>24890</v>
      </c>
      <c r="K10" s="33">
        <v>54361</v>
      </c>
      <c r="L10" s="33">
        <v>148</v>
      </c>
      <c r="M10" s="33" t="s">
        <v>16</v>
      </c>
      <c r="N10" s="44">
        <v>0.20241060666934499</v>
      </c>
      <c r="O10" s="35" t="s">
        <v>36</v>
      </c>
    </row>
    <row r="11" spans="1:15" x14ac:dyDescent="0.3">
      <c r="A11" s="36" t="s">
        <v>55</v>
      </c>
      <c r="B11" s="37" t="s">
        <v>13</v>
      </c>
      <c r="C11" s="38">
        <v>45823</v>
      </c>
      <c r="D11" s="37" t="s">
        <v>14</v>
      </c>
      <c r="E11" s="37" t="s">
        <v>360</v>
      </c>
      <c r="F11" s="37" t="s">
        <v>361</v>
      </c>
      <c r="G11" s="37">
        <v>4896</v>
      </c>
      <c r="H11" s="37">
        <v>466</v>
      </c>
      <c r="I11" s="37">
        <v>233</v>
      </c>
      <c r="J11" s="37">
        <v>28621</v>
      </c>
      <c r="K11" s="37">
        <v>34270</v>
      </c>
      <c r="L11" s="37">
        <v>84</v>
      </c>
      <c r="M11" s="37" t="s">
        <v>16</v>
      </c>
      <c r="N11" s="45">
        <v>0.19548583208133899</v>
      </c>
      <c r="O11" s="39" t="s">
        <v>39</v>
      </c>
    </row>
    <row r="12" spans="1:15" x14ac:dyDescent="0.3">
      <c r="A12" s="32" t="s">
        <v>55</v>
      </c>
      <c r="B12" s="33" t="s">
        <v>13</v>
      </c>
      <c r="C12" s="34">
        <v>45823</v>
      </c>
      <c r="D12" s="33" t="s">
        <v>14</v>
      </c>
      <c r="E12" s="33" t="s">
        <v>360</v>
      </c>
      <c r="F12" s="33" t="s">
        <v>361</v>
      </c>
      <c r="G12" s="33">
        <v>4896</v>
      </c>
      <c r="H12" s="33">
        <v>466</v>
      </c>
      <c r="I12" s="33">
        <v>233</v>
      </c>
      <c r="J12" s="33">
        <v>28621</v>
      </c>
      <c r="K12" s="33">
        <v>34270</v>
      </c>
      <c r="L12" s="33">
        <v>84</v>
      </c>
      <c r="M12" s="33" t="s">
        <v>16</v>
      </c>
      <c r="N12" s="44">
        <v>0.19548583208133899</v>
      </c>
      <c r="O12" s="35" t="s">
        <v>36</v>
      </c>
    </row>
    <row r="13" spans="1:15" x14ac:dyDescent="0.3">
      <c r="A13" s="36" t="s">
        <v>190</v>
      </c>
      <c r="B13" s="37" t="s">
        <v>28</v>
      </c>
      <c r="C13" s="38">
        <v>45718</v>
      </c>
      <c r="D13" s="37" t="s">
        <v>14</v>
      </c>
      <c r="E13" s="37" t="s">
        <v>43</v>
      </c>
      <c r="F13" s="37"/>
      <c r="G13" s="37">
        <v>4425</v>
      </c>
      <c r="H13" s="37">
        <v>185</v>
      </c>
      <c r="I13" s="37">
        <v>162</v>
      </c>
      <c r="J13" s="37">
        <v>24610</v>
      </c>
      <c r="K13" s="37">
        <v>21342</v>
      </c>
      <c r="L13" s="37">
        <v>158</v>
      </c>
      <c r="M13" s="37" t="s">
        <v>20</v>
      </c>
      <c r="N13" s="45">
        <v>0.19390491670052801</v>
      </c>
      <c r="O13" s="39" t="s">
        <v>19</v>
      </c>
    </row>
    <row r="14" spans="1:15" x14ac:dyDescent="0.3">
      <c r="A14" s="32" t="s">
        <v>190</v>
      </c>
      <c r="B14" s="33" t="s">
        <v>28</v>
      </c>
      <c r="C14" s="34">
        <v>45718</v>
      </c>
      <c r="D14" s="33" t="s">
        <v>14</v>
      </c>
      <c r="E14" s="33" t="s">
        <v>43</v>
      </c>
      <c r="F14" s="33"/>
      <c r="G14" s="33">
        <v>4425</v>
      </c>
      <c r="H14" s="33">
        <v>185</v>
      </c>
      <c r="I14" s="33">
        <v>162</v>
      </c>
      <c r="J14" s="33">
        <v>24610</v>
      </c>
      <c r="K14" s="33">
        <v>21342</v>
      </c>
      <c r="L14" s="33">
        <v>158</v>
      </c>
      <c r="M14" s="33" t="s">
        <v>20</v>
      </c>
      <c r="N14" s="44">
        <v>0.19390491670052801</v>
      </c>
      <c r="O14" s="35" t="s">
        <v>354</v>
      </c>
    </row>
    <row r="15" spans="1:15" x14ac:dyDescent="0.3">
      <c r="A15" s="36" t="s">
        <v>281</v>
      </c>
      <c r="B15" s="37" t="s">
        <v>28</v>
      </c>
      <c r="C15" s="38">
        <v>45457</v>
      </c>
      <c r="D15" s="37" t="s">
        <v>51</v>
      </c>
      <c r="E15" s="37" t="s">
        <v>26</v>
      </c>
      <c r="F15" s="37"/>
      <c r="G15" s="37">
        <v>4722</v>
      </c>
      <c r="H15" s="37">
        <v>310</v>
      </c>
      <c r="I15" s="37">
        <v>344</v>
      </c>
      <c r="J15" s="37">
        <v>27911</v>
      </c>
      <c r="K15" s="37">
        <v>19000</v>
      </c>
      <c r="L15" s="37">
        <v>225</v>
      </c>
      <c r="M15" s="37" t="s">
        <v>52</v>
      </c>
      <c r="N15" s="45">
        <v>0.19261223173659101</v>
      </c>
      <c r="O15" s="39" t="s">
        <v>19</v>
      </c>
    </row>
    <row r="16" spans="1:15" x14ac:dyDescent="0.3">
      <c r="A16" s="32" t="s">
        <v>281</v>
      </c>
      <c r="B16" s="33" t="s">
        <v>28</v>
      </c>
      <c r="C16" s="34">
        <v>45457</v>
      </c>
      <c r="D16" s="33" t="s">
        <v>51</v>
      </c>
      <c r="E16" s="33" t="s">
        <v>26</v>
      </c>
      <c r="F16" s="33"/>
      <c r="G16" s="33">
        <v>4722</v>
      </c>
      <c r="H16" s="33">
        <v>310</v>
      </c>
      <c r="I16" s="33">
        <v>344</v>
      </c>
      <c r="J16" s="33">
        <v>27911</v>
      </c>
      <c r="K16" s="33">
        <v>19000</v>
      </c>
      <c r="L16" s="33">
        <v>225</v>
      </c>
      <c r="M16" s="33" t="s">
        <v>52</v>
      </c>
      <c r="N16" s="44">
        <v>0.19261223173659101</v>
      </c>
      <c r="O16" s="35" t="s">
        <v>39</v>
      </c>
    </row>
    <row r="17" spans="1:15" x14ac:dyDescent="0.3">
      <c r="A17" s="36" t="s">
        <v>169</v>
      </c>
      <c r="B17" s="37" t="s">
        <v>22</v>
      </c>
      <c r="C17" s="38">
        <v>45615</v>
      </c>
      <c r="D17" s="37" t="s">
        <v>14</v>
      </c>
      <c r="E17" s="37" t="s">
        <v>35</v>
      </c>
      <c r="F17" s="37"/>
      <c r="G17" s="37">
        <v>3728</v>
      </c>
      <c r="H17" s="37">
        <v>271</v>
      </c>
      <c r="I17" s="37">
        <v>275</v>
      </c>
      <c r="J17" s="37">
        <v>22827</v>
      </c>
      <c r="K17" s="37">
        <v>37034</v>
      </c>
      <c r="L17" s="37">
        <v>199</v>
      </c>
      <c r="M17" s="37" t="s">
        <v>16</v>
      </c>
      <c r="N17" s="45">
        <v>0.18723441538528901</v>
      </c>
      <c r="O17" s="39" t="s">
        <v>36</v>
      </c>
    </row>
    <row r="18" spans="1:15" x14ac:dyDescent="0.3">
      <c r="A18" s="32" t="s">
        <v>101</v>
      </c>
      <c r="B18" s="33" t="s">
        <v>22</v>
      </c>
      <c r="C18" s="34">
        <v>45379</v>
      </c>
      <c r="D18" s="33" t="s">
        <v>14</v>
      </c>
      <c r="E18" s="33" t="s">
        <v>29</v>
      </c>
      <c r="F18" s="33"/>
      <c r="G18" s="33">
        <v>3276</v>
      </c>
      <c r="H18" s="33">
        <v>421</v>
      </c>
      <c r="I18" s="33">
        <v>114</v>
      </c>
      <c r="J18" s="33">
        <v>20580</v>
      </c>
      <c r="K18" s="33">
        <v>30324</v>
      </c>
      <c r="L18" s="33">
        <v>221</v>
      </c>
      <c r="M18" s="33" t="s">
        <v>20</v>
      </c>
      <c r="N18" s="44">
        <v>0.18517978620019401</v>
      </c>
      <c r="O18" s="35" t="s">
        <v>39</v>
      </c>
    </row>
    <row r="19" spans="1:15" x14ac:dyDescent="0.3">
      <c r="A19" s="36" t="s">
        <v>121</v>
      </c>
      <c r="B19" s="37" t="s">
        <v>22</v>
      </c>
      <c r="C19" s="38">
        <v>45705</v>
      </c>
      <c r="D19" s="37" t="s">
        <v>23</v>
      </c>
      <c r="E19" s="37" t="s">
        <v>360</v>
      </c>
      <c r="F19" s="37" t="s">
        <v>361</v>
      </c>
      <c r="G19" s="37">
        <v>4796</v>
      </c>
      <c r="H19" s="37">
        <v>427</v>
      </c>
      <c r="I19" s="37">
        <v>339</v>
      </c>
      <c r="J19" s="37">
        <v>30752</v>
      </c>
      <c r="K19" s="37">
        <v>33870</v>
      </c>
      <c r="L19" s="37">
        <v>298</v>
      </c>
      <c r="M19" s="37" t="s">
        <v>16</v>
      </c>
      <c r="N19" s="45">
        <v>0.18086628511966699</v>
      </c>
      <c r="O19" s="39" t="s">
        <v>39</v>
      </c>
    </row>
    <row r="20" spans="1:15" x14ac:dyDescent="0.3">
      <c r="A20" s="32" t="s">
        <v>121</v>
      </c>
      <c r="B20" s="33" t="s">
        <v>22</v>
      </c>
      <c r="C20" s="34">
        <v>45705</v>
      </c>
      <c r="D20" s="33" t="s">
        <v>23</v>
      </c>
      <c r="E20" s="33" t="s">
        <v>360</v>
      </c>
      <c r="F20" s="33" t="s">
        <v>361</v>
      </c>
      <c r="G20" s="33">
        <v>4796</v>
      </c>
      <c r="H20" s="33">
        <v>427</v>
      </c>
      <c r="I20" s="33">
        <v>339</v>
      </c>
      <c r="J20" s="33">
        <v>30752</v>
      </c>
      <c r="K20" s="33">
        <v>33870</v>
      </c>
      <c r="L20" s="33">
        <v>298</v>
      </c>
      <c r="M20" s="33" t="s">
        <v>16</v>
      </c>
      <c r="N20" s="44">
        <v>0.18086628511966699</v>
      </c>
      <c r="O20" s="35" t="s">
        <v>36</v>
      </c>
    </row>
    <row r="21" spans="1:15" x14ac:dyDescent="0.3">
      <c r="A21" s="36" t="s">
        <v>246</v>
      </c>
      <c r="B21" s="37" t="s">
        <v>13</v>
      </c>
      <c r="C21" s="38">
        <v>45832</v>
      </c>
      <c r="D21" s="37" t="s">
        <v>23</v>
      </c>
      <c r="E21" s="37" t="s">
        <v>32</v>
      </c>
      <c r="F21" s="37"/>
      <c r="G21" s="37">
        <v>4902</v>
      </c>
      <c r="H21" s="37">
        <v>422</v>
      </c>
      <c r="I21" s="37">
        <v>376</v>
      </c>
      <c r="J21" s="37">
        <v>31674</v>
      </c>
      <c r="K21" s="37">
        <v>53225</v>
      </c>
      <c r="L21" s="37">
        <v>147</v>
      </c>
      <c r="M21" s="37" t="s">
        <v>49</v>
      </c>
      <c r="N21" s="45">
        <v>0.17995832544042401</v>
      </c>
      <c r="O21" s="39" t="s">
        <v>36</v>
      </c>
    </row>
    <row r="22" spans="1:15" x14ac:dyDescent="0.3">
      <c r="A22" s="32" t="s">
        <v>283</v>
      </c>
      <c r="B22" s="33" t="s">
        <v>22</v>
      </c>
      <c r="C22" s="34">
        <v>45792</v>
      </c>
      <c r="D22" s="33" t="s">
        <v>14</v>
      </c>
      <c r="E22" s="33" t="s">
        <v>45</v>
      </c>
      <c r="F22" s="33"/>
      <c r="G22" s="33">
        <v>4782</v>
      </c>
      <c r="H22" s="33">
        <v>210</v>
      </c>
      <c r="I22" s="33">
        <v>311</v>
      </c>
      <c r="J22" s="33">
        <v>29793</v>
      </c>
      <c r="K22" s="33">
        <v>37543</v>
      </c>
      <c r="L22" s="33">
        <v>145</v>
      </c>
      <c r="M22" s="33" t="s">
        <v>16</v>
      </c>
      <c r="N22" s="44">
        <v>0.17799483100057101</v>
      </c>
      <c r="O22" s="35" t="s">
        <v>36</v>
      </c>
    </row>
    <row r="23" spans="1:15" x14ac:dyDescent="0.3">
      <c r="A23" s="36" t="s">
        <v>100</v>
      </c>
      <c r="B23" s="37" t="s">
        <v>28</v>
      </c>
      <c r="C23" s="38">
        <v>45384</v>
      </c>
      <c r="D23" s="37" t="s">
        <v>51</v>
      </c>
      <c r="E23" s="37" t="s">
        <v>45</v>
      </c>
      <c r="F23" s="37"/>
      <c r="G23" s="37">
        <v>4563</v>
      </c>
      <c r="H23" s="37">
        <v>488</v>
      </c>
      <c r="I23" s="37">
        <v>356</v>
      </c>
      <c r="J23" s="37">
        <v>30619</v>
      </c>
      <c r="K23" s="37">
        <v>23328</v>
      </c>
      <c r="L23" s="37">
        <v>267</v>
      </c>
      <c r="M23" s="37" t="s">
        <v>52</v>
      </c>
      <c r="N23" s="45">
        <v>0.17658969920637499</v>
      </c>
      <c r="O23" s="39" t="s">
        <v>19</v>
      </c>
    </row>
    <row r="24" spans="1:15" x14ac:dyDescent="0.3">
      <c r="A24" s="32" t="s">
        <v>100</v>
      </c>
      <c r="B24" s="33" t="s">
        <v>28</v>
      </c>
      <c r="C24" s="34">
        <v>45384</v>
      </c>
      <c r="D24" s="33" t="s">
        <v>51</v>
      </c>
      <c r="E24" s="33" t="s">
        <v>45</v>
      </c>
      <c r="F24" s="33"/>
      <c r="G24" s="33">
        <v>4563</v>
      </c>
      <c r="H24" s="33">
        <v>488</v>
      </c>
      <c r="I24" s="33">
        <v>356</v>
      </c>
      <c r="J24" s="33">
        <v>30619</v>
      </c>
      <c r="K24" s="33">
        <v>23328</v>
      </c>
      <c r="L24" s="33">
        <v>267</v>
      </c>
      <c r="M24" s="33" t="s">
        <v>52</v>
      </c>
      <c r="N24" s="44">
        <v>0.17658969920637499</v>
      </c>
      <c r="O24" s="35" t="s">
        <v>39</v>
      </c>
    </row>
    <row r="25" spans="1:15" x14ac:dyDescent="0.3">
      <c r="A25" s="36" t="s">
        <v>123</v>
      </c>
      <c r="B25" s="37" t="s">
        <v>22</v>
      </c>
      <c r="C25" s="38">
        <v>45495</v>
      </c>
      <c r="D25" s="37" t="s">
        <v>23</v>
      </c>
      <c r="E25" s="37" t="s">
        <v>26</v>
      </c>
      <c r="F25" s="37"/>
      <c r="G25" s="37">
        <v>3336</v>
      </c>
      <c r="H25" s="37">
        <v>229</v>
      </c>
      <c r="I25" s="37">
        <v>337</v>
      </c>
      <c r="J25" s="37">
        <v>22117</v>
      </c>
      <c r="K25" s="37">
        <v>26205</v>
      </c>
      <c r="L25" s="37">
        <v>160</v>
      </c>
      <c r="M25" s="37" t="s">
        <v>16</v>
      </c>
      <c r="N25" s="45">
        <v>0.17642537414658399</v>
      </c>
      <c r="O25" s="39" t="s">
        <v>355</v>
      </c>
    </row>
    <row r="26" spans="1:15" x14ac:dyDescent="0.3">
      <c r="A26" s="32" t="s">
        <v>123</v>
      </c>
      <c r="B26" s="33" t="s">
        <v>22</v>
      </c>
      <c r="C26" s="34">
        <v>45495</v>
      </c>
      <c r="D26" s="33" t="s">
        <v>23</v>
      </c>
      <c r="E26" s="33" t="s">
        <v>26</v>
      </c>
      <c r="F26" s="33"/>
      <c r="G26" s="33">
        <v>3336</v>
      </c>
      <c r="H26" s="33">
        <v>229</v>
      </c>
      <c r="I26" s="33">
        <v>337</v>
      </c>
      <c r="J26" s="33">
        <v>22117</v>
      </c>
      <c r="K26" s="33">
        <v>26205</v>
      </c>
      <c r="L26" s="33">
        <v>160</v>
      </c>
      <c r="M26" s="33" t="s">
        <v>16</v>
      </c>
      <c r="N26" s="44">
        <v>0.17642537414658399</v>
      </c>
      <c r="O26" s="35" t="s">
        <v>36</v>
      </c>
    </row>
    <row r="27" spans="1:15" x14ac:dyDescent="0.3">
      <c r="A27" s="36" t="s">
        <v>210</v>
      </c>
      <c r="B27" s="37" t="s">
        <v>22</v>
      </c>
      <c r="C27" s="38">
        <v>45606</v>
      </c>
      <c r="D27" s="37" t="s">
        <v>14</v>
      </c>
      <c r="E27" s="37" t="s">
        <v>18</v>
      </c>
      <c r="F27" s="37"/>
      <c r="G27" s="37">
        <v>4823</v>
      </c>
      <c r="H27" s="37">
        <v>489</v>
      </c>
      <c r="I27" s="37">
        <v>302</v>
      </c>
      <c r="J27" s="37">
        <v>32470</v>
      </c>
      <c r="K27" s="37">
        <v>31861</v>
      </c>
      <c r="L27" s="37">
        <v>178</v>
      </c>
      <c r="M27" s="37" t="s">
        <v>20</v>
      </c>
      <c r="N27" s="45">
        <v>0.172898059747459</v>
      </c>
      <c r="O27" s="39" t="s">
        <v>39</v>
      </c>
    </row>
    <row r="28" spans="1:15" x14ac:dyDescent="0.3">
      <c r="A28" s="32" t="s">
        <v>272</v>
      </c>
      <c r="B28" s="33" t="s">
        <v>22</v>
      </c>
      <c r="C28" s="34">
        <v>45639</v>
      </c>
      <c r="D28" s="33" t="s">
        <v>23</v>
      </c>
      <c r="E28" s="33" t="s">
        <v>24</v>
      </c>
      <c r="F28" s="33"/>
      <c r="G28" s="33">
        <v>4984</v>
      </c>
      <c r="H28" s="33">
        <v>300</v>
      </c>
      <c r="I28" s="33">
        <v>338</v>
      </c>
      <c r="J28" s="33">
        <v>32900</v>
      </c>
      <c r="K28" s="33">
        <v>31691</v>
      </c>
      <c r="L28" s="33">
        <v>160</v>
      </c>
      <c r="M28" s="33" t="s">
        <v>16</v>
      </c>
      <c r="N28" s="44">
        <v>0.17088145896656501</v>
      </c>
      <c r="O28" s="35" t="s">
        <v>355</v>
      </c>
    </row>
    <row r="29" spans="1:15" x14ac:dyDescent="0.3">
      <c r="A29" s="36" t="s">
        <v>272</v>
      </c>
      <c r="B29" s="37" t="s">
        <v>22</v>
      </c>
      <c r="C29" s="38">
        <v>45639</v>
      </c>
      <c r="D29" s="37" t="s">
        <v>23</v>
      </c>
      <c r="E29" s="37" t="s">
        <v>24</v>
      </c>
      <c r="F29" s="37"/>
      <c r="G29" s="37">
        <v>4984</v>
      </c>
      <c r="H29" s="37">
        <v>300</v>
      </c>
      <c r="I29" s="37">
        <v>338</v>
      </c>
      <c r="J29" s="37">
        <v>32900</v>
      </c>
      <c r="K29" s="37">
        <v>31691</v>
      </c>
      <c r="L29" s="37">
        <v>160</v>
      </c>
      <c r="M29" s="37" t="s">
        <v>16</v>
      </c>
      <c r="N29" s="45">
        <v>0.17088145896656501</v>
      </c>
      <c r="O29" s="39" t="s">
        <v>36</v>
      </c>
    </row>
    <row r="30" spans="1:15" x14ac:dyDescent="0.3">
      <c r="A30" s="32" t="s">
        <v>267</v>
      </c>
      <c r="B30" s="33" t="s">
        <v>22</v>
      </c>
      <c r="C30" s="34">
        <v>45324</v>
      </c>
      <c r="D30" s="33" t="s">
        <v>14</v>
      </c>
      <c r="E30" s="33" t="s">
        <v>43</v>
      </c>
      <c r="F30" s="33"/>
      <c r="G30" s="33">
        <v>3818</v>
      </c>
      <c r="H30" s="33">
        <v>115</v>
      </c>
      <c r="I30" s="33">
        <v>286</v>
      </c>
      <c r="J30" s="33">
        <v>25127</v>
      </c>
      <c r="K30" s="33">
        <v>22277</v>
      </c>
      <c r="L30" s="33">
        <v>263</v>
      </c>
      <c r="M30" s="33" t="s">
        <v>16</v>
      </c>
      <c r="N30" s="44">
        <v>0.16790703227603801</v>
      </c>
      <c r="O30" s="35" t="s">
        <v>36</v>
      </c>
    </row>
    <row r="31" spans="1:15" x14ac:dyDescent="0.3">
      <c r="A31" s="36" t="s">
        <v>216</v>
      </c>
      <c r="B31" s="37" t="s">
        <v>22</v>
      </c>
      <c r="C31" s="38">
        <v>45496</v>
      </c>
      <c r="D31" s="37" t="s">
        <v>14</v>
      </c>
      <c r="E31" s="37" t="s">
        <v>35</v>
      </c>
      <c r="F31" s="37"/>
      <c r="G31" s="37">
        <v>3204</v>
      </c>
      <c r="H31" s="37">
        <v>398</v>
      </c>
      <c r="I31" s="37">
        <v>85</v>
      </c>
      <c r="J31" s="37">
        <v>22020</v>
      </c>
      <c r="K31" s="37">
        <v>58353</v>
      </c>
      <c r="L31" s="37">
        <v>286</v>
      </c>
      <c r="M31" s="37" t="s">
        <v>20</v>
      </c>
      <c r="N31" s="45">
        <v>0.16743869209809301</v>
      </c>
      <c r="O31" s="39" t="s">
        <v>39</v>
      </c>
    </row>
    <row r="32" spans="1:15" x14ac:dyDescent="0.3">
      <c r="A32" s="32" t="s">
        <v>144</v>
      </c>
      <c r="B32" s="33" t="s">
        <v>28</v>
      </c>
      <c r="C32" s="34">
        <v>45493</v>
      </c>
      <c r="D32" s="33" t="s">
        <v>51</v>
      </c>
      <c r="E32" s="33" t="s">
        <v>29</v>
      </c>
      <c r="F32" s="33"/>
      <c r="G32" s="33">
        <v>4955</v>
      </c>
      <c r="H32" s="33">
        <v>299</v>
      </c>
      <c r="I32" s="33">
        <v>345</v>
      </c>
      <c r="J32" s="33">
        <v>33644</v>
      </c>
      <c r="K32" s="33">
        <v>43547</v>
      </c>
      <c r="L32" s="33">
        <v>194</v>
      </c>
      <c r="M32" s="33" t="s">
        <v>52</v>
      </c>
      <c r="N32" s="44">
        <v>0.16641897515158699</v>
      </c>
      <c r="O32" s="35" t="s">
        <v>19</v>
      </c>
    </row>
    <row r="33" spans="1:15" x14ac:dyDescent="0.3">
      <c r="A33" s="36" t="s">
        <v>144</v>
      </c>
      <c r="B33" s="37" t="s">
        <v>28</v>
      </c>
      <c r="C33" s="38">
        <v>45493</v>
      </c>
      <c r="D33" s="37" t="s">
        <v>51</v>
      </c>
      <c r="E33" s="37" t="s">
        <v>29</v>
      </c>
      <c r="F33" s="37"/>
      <c r="G33" s="37">
        <v>4955</v>
      </c>
      <c r="H33" s="37">
        <v>299</v>
      </c>
      <c r="I33" s="37">
        <v>345</v>
      </c>
      <c r="J33" s="37">
        <v>33644</v>
      </c>
      <c r="K33" s="37">
        <v>43547</v>
      </c>
      <c r="L33" s="37">
        <v>194</v>
      </c>
      <c r="M33" s="37" t="s">
        <v>52</v>
      </c>
      <c r="N33" s="45">
        <v>0.16641897515158699</v>
      </c>
      <c r="O33" s="39" t="s">
        <v>39</v>
      </c>
    </row>
    <row r="34" spans="1:15" x14ac:dyDescent="0.3">
      <c r="A34" s="32" t="s">
        <v>170</v>
      </c>
      <c r="B34" s="33" t="s">
        <v>22</v>
      </c>
      <c r="C34" s="34">
        <v>45387</v>
      </c>
      <c r="D34" s="33" t="s">
        <v>23</v>
      </c>
      <c r="E34" s="33" t="s">
        <v>24</v>
      </c>
      <c r="F34" s="33"/>
      <c r="G34" s="33">
        <v>4965</v>
      </c>
      <c r="H34" s="33">
        <v>175</v>
      </c>
      <c r="I34" s="33">
        <v>307</v>
      </c>
      <c r="J34" s="33">
        <v>32793</v>
      </c>
      <c r="K34" s="33">
        <v>43412</v>
      </c>
      <c r="L34" s="33">
        <v>296</v>
      </c>
      <c r="M34" s="33" t="s">
        <v>16</v>
      </c>
      <c r="N34" s="44">
        <v>0.16610252187966901</v>
      </c>
      <c r="O34" s="35" t="s">
        <v>39</v>
      </c>
    </row>
    <row r="35" spans="1:15" x14ac:dyDescent="0.3">
      <c r="A35" s="36" t="s">
        <v>170</v>
      </c>
      <c r="B35" s="37" t="s">
        <v>22</v>
      </c>
      <c r="C35" s="38">
        <v>45387</v>
      </c>
      <c r="D35" s="37" t="s">
        <v>23</v>
      </c>
      <c r="E35" s="37" t="s">
        <v>24</v>
      </c>
      <c r="F35" s="37"/>
      <c r="G35" s="37">
        <v>4965</v>
      </c>
      <c r="H35" s="37">
        <v>175</v>
      </c>
      <c r="I35" s="37">
        <v>307</v>
      </c>
      <c r="J35" s="37">
        <v>32793</v>
      </c>
      <c r="K35" s="37">
        <v>43412</v>
      </c>
      <c r="L35" s="37">
        <v>296</v>
      </c>
      <c r="M35" s="37" t="s">
        <v>16</v>
      </c>
      <c r="N35" s="45">
        <v>0.16610252187966901</v>
      </c>
      <c r="O35" s="39" t="s">
        <v>36</v>
      </c>
    </row>
    <row r="36" spans="1:15" x14ac:dyDescent="0.3">
      <c r="A36" s="32" t="s">
        <v>279</v>
      </c>
      <c r="B36" s="33" t="s">
        <v>22</v>
      </c>
      <c r="C36" s="34">
        <v>45481</v>
      </c>
      <c r="D36" s="33" t="s">
        <v>23</v>
      </c>
      <c r="E36" s="33" t="s">
        <v>35</v>
      </c>
      <c r="F36" s="33"/>
      <c r="G36" s="33">
        <v>2981</v>
      </c>
      <c r="H36" s="33">
        <v>258</v>
      </c>
      <c r="I36" s="33">
        <v>168</v>
      </c>
      <c r="J36" s="33">
        <v>20677</v>
      </c>
      <c r="K36" s="33">
        <v>68290</v>
      </c>
      <c r="L36" s="33">
        <v>130</v>
      </c>
      <c r="M36" s="33" t="s">
        <v>16</v>
      </c>
      <c r="N36" s="44">
        <v>0.164772452483436</v>
      </c>
      <c r="O36" s="35" t="s">
        <v>39</v>
      </c>
    </row>
    <row r="37" spans="1:15" x14ac:dyDescent="0.3">
      <c r="A37" s="36" t="s">
        <v>279</v>
      </c>
      <c r="B37" s="37" t="s">
        <v>22</v>
      </c>
      <c r="C37" s="38">
        <v>45481</v>
      </c>
      <c r="D37" s="37" t="s">
        <v>23</v>
      </c>
      <c r="E37" s="37" t="s">
        <v>35</v>
      </c>
      <c r="F37" s="37"/>
      <c r="G37" s="37">
        <v>2981</v>
      </c>
      <c r="H37" s="37">
        <v>258</v>
      </c>
      <c r="I37" s="37">
        <v>168</v>
      </c>
      <c r="J37" s="37">
        <v>20677</v>
      </c>
      <c r="K37" s="37">
        <v>68290</v>
      </c>
      <c r="L37" s="37">
        <v>130</v>
      </c>
      <c r="M37" s="37" t="s">
        <v>16</v>
      </c>
      <c r="N37" s="45">
        <v>0.164772452483436</v>
      </c>
      <c r="O37" s="39" t="s">
        <v>36</v>
      </c>
    </row>
    <row r="38" spans="1:15" x14ac:dyDescent="0.3">
      <c r="A38" s="32" t="s">
        <v>205</v>
      </c>
      <c r="B38" s="33" t="s">
        <v>28</v>
      </c>
      <c r="C38" s="34">
        <v>45400</v>
      </c>
      <c r="D38" s="33" t="s">
        <v>14</v>
      </c>
      <c r="E38" s="33" t="s">
        <v>18</v>
      </c>
      <c r="F38" s="33"/>
      <c r="G38" s="33">
        <v>4023</v>
      </c>
      <c r="H38" s="33">
        <v>293</v>
      </c>
      <c r="I38" s="33">
        <v>91</v>
      </c>
      <c r="J38" s="33">
        <v>26795</v>
      </c>
      <c r="K38" s="33">
        <v>28924</v>
      </c>
      <c r="L38" s="33">
        <v>278</v>
      </c>
      <c r="M38" s="33" t="s">
        <v>20</v>
      </c>
      <c r="N38" s="44">
        <v>0.164470983392424</v>
      </c>
      <c r="O38" s="35" t="s">
        <v>19</v>
      </c>
    </row>
    <row r="39" spans="1:15" x14ac:dyDescent="0.3">
      <c r="A39" s="36" t="s">
        <v>205</v>
      </c>
      <c r="B39" s="37" t="s">
        <v>28</v>
      </c>
      <c r="C39" s="38">
        <v>45400</v>
      </c>
      <c r="D39" s="37" t="s">
        <v>14</v>
      </c>
      <c r="E39" s="37" t="s">
        <v>18</v>
      </c>
      <c r="F39" s="37"/>
      <c r="G39" s="37">
        <v>4023</v>
      </c>
      <c r="H39" s="37">
        <v>293</v>
      </c>
      <c r="I39" s="37">
        <v>91</v>
      </c>
      <c r="J39" s="37">
        <v>26795</v>
      </c>
      <c r="K39" s="37">
        <v>28924</v>
      </c>
      <c r="L39" s="37">
        <v>278</v>
      </c>
      <c r="M39" s="37" t="s">
        <v>20</v>
      </c>
      <c r="N39" s="45">
        <v>0.164470983392424</v>
      </c>
      <c r="O39" s="39" t="s">
        <v>354</v>
      </c>
    </row>
    <row r="40" spans="1:15" x14ac:dyDescent="0.3">
      <c r="A40" s="32" t="s">
        <v>117</v>
      </c>
      <c r="B40" s="33" t="s">
        <v>22</v>
      </c>
      <c r="C40" s="34">
        <v>45507</v>
      </c>
      <c r="D40" s="33" t="s">
        <v>14</v>
      </c>
      <c r="E40" s="33" t="s">
        <v>45</v>
      </c>
      <c r="F40" s="33"/>
      <c r="G40" s="33">
        <v>4247</v>
      </c>
      <c r="H40" s="33">
        <v>390</v>
      </c>
      <c r="I40" s="33">
        <v>213</v>
      </c>
      <c r="J40" s="33">
        <v>29785</v>
      </c>
      <c r="K40" s="33">
        <v>57768</v>
      </c>
      <c r="L40" s="33">
        <v>122</v>
      </c>
      <c r="M40" s="33" t="s">
        <v>16</v>
      </c>
      <c r="N40" s="44">
        <v>0.16283364109451101</v>
      </c>
      <c r="O40" s="35" t="s">
        <v>36</v>
      </c>
    </row>
    <row r="41" spans="1:15" x14ac:dyDescent="0.3">
      <c r="A41" s="36" t="s">
        <v>66</v>
      </c>
      <c r="B41" s="37" t="s">
        <v>22</v>
      </c>
      <c r="C41" s="38">
        <v>45574</v>
      </c>
      <c r="D41" s="37" t="s">
        <v>23</v>
      </c>
      <c r="E41" s="37" t="s">
        <v>15</v>
      </c>
      <c r="F41" s="37"/>
      <c r="G41" s="37">
        <v>4929</v>
      </c>
      <c r="H41" s="37">
        <v>182</v>
      </c>
      <c r="I41" s="37">
        <v>95</v>
      </c>
      <c r="J41" s="37">
        <v>32181</v>
      </c>
      <c r="K41" s="37">
        <v>31084</v>
      </c>
      <c r="L41" s="37">
        <v>289</v>
      </c>
      <c r="M41" s="37" t="s">
        <v>16</v>
      </c>
      <c r="N41" s="45">
        <v>0.16177247444144099</v>
      </c>
      <c r="O41" s="39" t="s">
        <v>19</v>
      </c>
    </row>
    <row r="42" spans="1:15" x14ac:dyDescent="0.3">
      <c r="A42" s="32" t="s">
        <v>66</v>
      </c>
      <c r="B42" s="33" t="s">
        <v>22</v>
      </c>
      <c r="C42" s="34">
        <v>45574</v>
      </c>
      <c r="D42" s="33" t="s">
        <v>23</v>
      </c>
      <c r="E42" s="33" t="s">
        <v>15</v>
      </c>
      <c r="F42" s="33"/>
      <c r="G42" s="33">
        <v>4929</v>
      </c>
      <c r="H42" s="33">
        <v>182</v>
      </c>
      <c r="I42" s="33">
        <v>95</v>
      </c>
      <c r="J42" s="33">
        <v>32181</v>
      </c>
      <c r="K42" s="33">
        <v>31084</v>
      </c>
      <c r="L42" s="33">
        <v>289</v>
      </c>
      <c r="M42" s="33" t="s">
        <v>16</v>
      </c>
      <c r="N42" s="44">
        <v>0.16177247444144099</v>
      </c>
      <c r="O42" s="35" t="s">
        <v>355</v>
      </c>
    </row>
    <row r="43" spans="1:15" x14ac:dyDescent="0.3">
      <c r="A43" s="36" t="s">
        <v>200</v>
      </c>
      <c r="B43" s="37" t="s">
        <v>28</v>
      </c>
      <c r="C43" s="38">
        <v>45684</v>
      </c>
      <c r="D43" s="37" t="s">
        <v>14</v>
      </c>
      <c r="E43" s="37" t="s">
        <v>26</v>
      </c>
      <c r="F43" s="37"/>
      <c r="G43" s="37">
        <v>4294</v>
      </c>
      <c r="H43" s="37">
        <v>423</v>
      </c>
      <c r="I43" s="37">
        <v>93</v>
      </c>
      <c r="J43" s="37">
        <v>29828</v>
      </c>
      <c r="K43" s="37">
        <v>73144</v>
      </c>
      <c r="L43" s="37">
        <v>298</v>
      </c>
      <c r="M43" s="37" t="s">
        <v>20</v>
      </c>
      <c r="N43" s="45">
        <v>0.16125787850341999</v>
      </c>
      <c r="O43" s="39" t="s">
        <v>19</v>
      </c>
    </row>
    <row r="44" spans="1:15" x14ac:dyDescent="0.3">
      <c r="A44" s="32" t="s">
        <v>200</v>
      </c>
      <c r="B44" s="33" t="s">
        <v>28</v>
      </c>
      <c r="C44" s="34">
        <v>45684</v>
      </c>
      <c r="D44" s="33" t="s">
        <v>14</v>
      </c>
      <c r="E44" s="33" t="s">
        <v>26</v>
      </c>
      <c r="F44" s="33"/>
      <c r="G44" s="33">
        <v>4294</v>
      </c>
      <c r="H44" s="33">
        <v>423</v>
      </c>
      <c r="I44" s="33">
        <v>93</v>
      </c>
      <c r="J44" s="33">
        <v>29828</v>
      </c>
      <c r="K44" s="33">
        <v>73144</v>
      </c>
      <c r="L44" s="33">
        <v>298</v>
      </c>
      <c r="M44" s="33" t="s">
        <v>20</v>
      </c>
      <c r="N44" s="44">
        <v>0.16125787850341999</v>
      </c>
      <c r="O44" s="35" t="s">
        <v>354</v>
      </c>
    </row>
    <row r="45" spans="1:15" x14ac:dyDescent="0.3">
      <c r="A45" s="36" t="s">
        <v>191</v>
      </c>
      <c r="B45" s="37" t="s">
        <v>22</v>
      </c>
      <c r="C45" s="38">
        <v>45737</v>
      </c>
      <c r="D45" s="37" t="s">
        <v>23</v>
      </c>
      <c r="E45" s="37" t="s">
        <v>24</v>
      </c>
      <c r="F45" s="37"/>
      <c r="G45" s="37">
        <v>4609</v>
      </c>
      <c r="H45" s="37">
        <v>427</v>
      </c>
      <c r="I45" s="37">
        <v>395</v>
      </c>
      <c r="J45" s="37">
        <v>33698</v>
      </c>
      <c r="K45" s="37">
        <v>29259</v>
      </c>
      <c r="L45" s="37">
        <v>216</v>
      </c>
      <c r="M45" s="37" t="s">
        <v>16</v>
      </c>
      <c r="N45" s="45">
        <v>0.16116683482699301</v>
      </c>
      <c r="O45" s="39" t="s">
        <v>19</v>
      </c>
    </row>
    <row r="46" spans="1:15" x14ac:dyDescent="0.3">
      <c r="A46" s="32" t="s">
        <v>191</v>
      </c>
      <c r="B46" s="33" t="s">
        <v>22</v>
      </c>
      <c r="C46" s="34">
        <v>45737</v>
      </c>
      <c r="D46" s="33" t="s">
        <v>23</v>
      </c>
      <c r="E46" s="33" t="s">
        <v>24</v>
      </c>
      <c r="F46" s="33"/>
      <c r="G46" s="33">
        <v>4609</v>
      </c>
      <c r="H46" s="33">
        <v>427</v>
      </c>
      <c r="I46" s="33">
        <v>395</v>
      </c>
      <c r="J46" s="33">
        <v>33698</v>
      </c>
      <c r="K46" s="33">
        <v>29259</v>
      </c>
      <c r="L46" s="33">
        <v>216</v>
      </c>
      <c r="M46" s="33" t="s">
        <v>16</v>
      </c>
      <c r="N46" s="44">
        <v>0.16116683482699301</v>
      </c>
      <c r="O46" s="35" t="s">
        <v>355</v>
      </c>
    </row>
    <row r="47" spans="1:15" x14ac:dyDescent="0.3">
      <c r="A47" s="36" t="s">
        <v>104</v>
      </c>
      <c r="B47" s="37" t="s">
        <v>22</v>
      </c>
      <c r="C47" s="38">
        <v>45302</v>
      </c>
      <c r="D47" s="37" t="s">
        <v>14</v>
      </c>
      <c r="E47" s="37" t="s">
        <v>360</v>
      </c>
      <c r="F47" s="37" t="s">
        <v>361</v>
      </c>
      <c r="G47" s="37">
        <v>4218</v>
      </c>
      <c r="H47" s="37">
        <v>247</v>
      </c>
      <c r="I47" s="37">
        <v>183</v>
      </c>
      <c r="J47" s="37">
        <v>28914</v>
      </c>
      <c r="K47" s="37">
        <v>18310</v>
      </c>
      <c r="L47" s="37">
        <v>135</v>
      </c>
      <c r="M47" s="37" t="s">
        <v>20</v>
      </c>
      <c r="N47" s="45">
        <v>0.16075257660648801</v>
      </c>
      <c r="O47" s="39" t="s">
        <v>39</v>
      </c>
    </row>
    <row r="48" spans="1:15" x14ac:dyDescent="0.3">
      <c r="A48" s="32" t="s">
        <v>143</v>
      </c>
      <c r="B48" s="33" t="s">
        <v>13</v>
      </c>
      <c r="C48" s="34">
        <v>45469</v>
      </c>
      <c r="D48" s="33" t="s">
        <v>14</v>
      </c>
      <c r="E48" s="33" t="s">
        <v>24</v>
      </c>
      <c r="F48" s="33"/>
      <c r="G48" s="33">
        <v>3253</v>
      </c>
      <c r="H48" s="33">
        <v>483</v>
      </c>
      <c r="I48" s="33">
        <v>336</v>
      </c>
      <c r="J48" s="33">
        <v>25397</v>
      </c>
      <c r="K48" s="33">
        <v>51485</v>
      </c>
      <c r="L48" s="33">
        <v>131</v>
      </c>
      <c r="M48" s="33" t="s">
        <v>20</v>
      </c>
      <c r="N48" s="44">
        <v>0.160333897704453</v>
      </c>
      <c r="O48" s="35" t="s">
        <v>19</v>
      </c>
    </row>
    <row r="49" spans="1:15" x14ac:dyDescent="0.3">
      <c r="A49" s="36" t="s">
        <v>81</v>
      </c>
      <c r="B49" s="37" t="s">
        <v>13</v>
      </c>
      <c r="C49" s="38">
        <v>45693</v>
      </c>
      <c r="D49" s="37" t="s">
        <v>23</v>
      </c>
      <c r="E49" s="37" t="s">
        <v>29</v>
      </c>
      <c r="F49" s="37"/>
      <c r="G49" s="37">
        <v>3074</v>
      </c>
      <c r="H49" s="37">
        <v>371</v>
      </c>
      <c r="I49" s="37">
        <v>348</v>
      </c>
      <c r="J49" s="37">
        <v>24104</v>
      </c>
      <c r="K49" s="37">
        <v>57803</v>
      </c>
      <c r="L49" s="37">
        <v>213</v>
      </c>
      <c r="M49" s="37" t="s">
        <v>49</v>
      </c>
      <c r="N49" s="45">
        <v>0.15735977431131801</v>
      </c>
      <c r="O49" s="39" t="s">
        <v>36</v>
      </c>
    </row>
    <row r="50" spans="1:15" x14ac:dyDescent="0.3">
      <c r="A50" s="32" t="s">
        <v>323</v>
      </c>
      <c r="B50" s="33" t="s">
        <v>22</v>
      </c>
      <c r="C50" s="34">
        <v>45517</v>
      </c>
      <c r="D50" s="33" t="s">
        <v>14</v>
      </c>
      <c r="E50" s="33" t="s">
        <v>18</v>
      </c>
      <c r="F50" s="33"/>
      <c r="G50" s="33">
        <v>3418</v>
      </c>
      <c r="H50" s="33">
        <v>107</v>
      </c>
      <c r="I50" s="33">
        <v>221</v>
      </c>
      <c r="J50" s="33">
        <v>23927</v>
      </c>
      <c r="K50" s="33">
        <v>26182</v>
      </c>
      <c r="L50" s="33">
        <v>155</v>
      </c>
      <c r="M50" s="33" t="s">
        <v>20</v>
      </c>
      <c r="N50" s="44">
        <v>0.15655953525306099</v>
      </c>
      <c r="O50" s="35" t="s">
        <v>39</v>
      </c>
    </row>
    <row r="51" spans="1:15" x14ac:dyDescent="0.3">
      <c r="A51" s="36" t="s">
        <v>194</v>
      </c>
      <c r="B51" s="37" t="s">
        <v>13</v>
      </c>
      <c r="C51" s="38">
        <v>45803</v>
      </c>
      <c r="D51" s="37" t="s">
        <v>14</v>
      </c>
      <c r="E51" s="37" t="s">
        <v>15</v>
      </c>
      <c r="F51" s="37"/>
      <c r="G51" s="37">
        <v>3086</v>
      </c>
      <c r="H51" s="37">
        <v>148</v>
      </c>
      <c r="I51" s="37">
        <v>310</v>
      </c>
      <c r="J51" s="37">
        <v>22824</v>
      </c>
      <c r="K51" s="37">
        <v>58103</v>
      </c>
      <c r="L51" s="37">
        <v>275</v>
      </c>
      <c r="M51" s="37" t="s">
        <v>20</v>
      </c>
      <c r="N51" s="45">
        <v>0.155275148966001</v>
      </c>
      <c r="O51" s="39" t="s">
        <v>19</v>
      </c>
    </row>
    <row r="52" spans="1:15" x14ac:dyDescent="0.3">
      <c r="A52" s="32" t="s">
        <v>203</v>
      </c>
      <c r="B52" s="33" t="s">
        <v>22</v>
      </c>
      <c r="C52" s="34">
        <v>45619</v>
      </c>
      <c r="D52" s="33" t="s">
        <v>14</v>
      </c>
      <c r="E52" s="33" t="s">
        <v>24</v>
      </c>
      <c r="F52" s="33"/>
      <c r="G52" s="33">
        <v>4318</v>
      </c>
      <c r="H52" s="33">
        <v>371</v>
      </c>
      <c r="I52" s="33">
        <v>329</v>
      </c>
      <c r="J52" s="33">
        <v>32347</v>
      </c>
      <c r="K52" s="33">
        <v>68956</v>
      </c>
      <c r="L52" s="33">
        <v>259</v>
      </c>
      <c r="M52" s="33" t="s">
        <v>20</v>
      </c>
      <c r="N52" s="44">
        <v>0.155130305747055</v>
      </c>
      <c r="O52" s="35" t="s">
        <v>39</v>
      </c>
    </row>
    <row r="53" spans="1:15" x14ac:dyDescent="0.3">
      <c r="A53" s="36" t="s">
        <v>287</v>
      </c>
      <c r="B53" s="37" t="s">
        <v>22</v>
      </c>
      <c r="C53" s="38">
        <v>45691</v>
      </c>
      <c r="D53" s="37" t="s">
        <v>14</v>
      </c>
      <c r="E53" s="37" t="s">
        <v>360</v>
      </c>
      <c r="F53" s="37" t="s">
        <v>361</v>
      </c>
      <c r="G53" s="37">
        <v>4995</v>
      </c>
      <c r="H53" s="37">
        <v>231</v>
      </c>
      <c r="I53" s="37">
        <v>94</v>
      </c>
      <c r="J53" s="37">
        <v>34431</v>
      </c>
      <c r="K53" s="37">
        <v>32560</v>
      </c>
      <c r="L53" s="37">
        <v>262</v>
      </c>
      <c r="M53" s="37" t="s">
        <v>16</v>
      </c>
      <c r="N53" s="45">
        <v>0.154511922395516</v>
      </c>
      <c r="O53" s="39" t="s">
        <v>36</v>
      </c>
    </row>
    <row r="54" spans="1:15" x14ac:dyDescent="0.3">
      <c r="A54" s="32" t="s">
        <v>53</v>
      </c>
      <c r="B54" s="33" t="s">
        <v>13</v>
      </c>
      <c r="C54" s="34">
        <v>45478</v>
      </c>
      <c r="D54" s="33" t="s">
        <v>14</v>
      </c>
      <c r="E54" s="33" t="s">
        <v>45</v>
      </c>
      <c r="F54" s="33"/>
      <c r="G54" s="33">
        <v>3753</v>
      </c>
      <c r="H54" s="33">
        <v>411</v>
      </c>
      <c r="I54" s="33">
        <v>308</v>
      </c>
      <c r="J54" s="33">
        <v>29138</v>
      </c>
      <c r="K54" s="33">
        <v>27678</v>
      </c>
      <c r="L54" s="33">
        <v>90</v>
      </c>
      <c r="M54" s="33" t="s">
        <v>20</v>
      </c>
      <c r="N54" s="44">
        <v>0.15347655981879299</v>
      </c>
      <c r="O54" s="35" t="s">
        <v>19</v>
      </c>
    </row>
    <row r="55" spans="1:15" x14ac:dyDescent="0.3">
      <c r="A55" s="36" t="s">
        <v>85</v>
      </c>
      <c r="B55" s="37" t="s">
        <v>22</v>
      </c>
      <c r="C55" s="38">
        <v>45539</v>
      </c>
      <c r="D55" s="37" t="s">
        <v>23</v>
      </c>
      <c r="E55" s="37" t="s">
        <v>24</v>
      </c>
      <c r="F55" s="37"/>
      <c r="G55" s="37">
        <v>2613</v>
      </c>
      <c r="H55" s="37">
        <v>455</v>
      </c>
      <c r="I55" s="37">
        <v>228</v>
      </c>
      <c r="J55" s="37">
        <v>21645</v>
      </c>
      <c r="K55" s="37">
        <v>61334</v>
      </c>
      <c r="L55" s="37">
        <v>261</v>
      </c>
      <c r="M55" s="37" t="s">
        <v>16</v>
      </c>
      <c r="N55" s="45">
        <v>0.15227535227535199</v>
      </c>
      <c r="O55" s="39" t="s">
        <v>19</v>
      </c>
    </row>
    <row r="56" spans="1:15" x14ac:dyDescent="0.3">
      <c r="A56" s="32" t="s">
        <v>85</v>
      </c>
      <c r="B56" s="33" t="s">
        <v>22</v>
      </c>
      <c r="C56" s="34">
        <v>45539</v>
      </c>
      <c r="D56" s="33" t="s">
        <v>23</v>
      </c>
      <c r="E56" s="33" t="s">
        <v>24</v>
      </c>
      <c r="F56" s="33"/>
      <c r="G56" s="33">
        <v>2613</v>
      </c>
      <c r="H56" s="33">
        <v>455</v>
      </c>
      <c r="I56" s="33">
        <v>228</v>
      </c>
      <c r="J56" s="33">
        <v>21645</v>
      </c>
      <c r="K56" s="33">
        <v>61334</v>
      </c>
      <c r="L56" s="33">
        <v>261</v>
      </c>
      <c r="M56" s="33" t="s">
        <v>16</v>
      </c>
      <c r="N56" s="44">
        <v>0.15227535227535199</v>
      </c>
      <c r="O56" s="35" t="s">
        <v>355</v>
      </c>
    </row>
    <row r="57" spans="1:15" x14ac:dyDescent="0.3">
      <c r="A57" s="36" t="s">
        <v>304</v>
      </c>
      <c r="B57" s="37" t="s">
        <v>22</v>
      </c>
      <c r="C57" s="38">
        <v>45693</v>
      </c>
      <c r="D57" s="37" t="s">
        <v>23</v>
      </c>
      <c r="E57" s="37" t="s">
        <v>15</v>
      </c>
      <c r="F57" s="37"/>
      <c r="G57" s="37">
        <v>3029</v>
      </c>
      <c r="H57" s="37">
        <v>440</v>
      </c>
      <c r="I57" s="37">
        <v>66</v>
      </c>
      <c r="J57" s="37">
        <v>23815</v>
      </c>
      <c r="K57" s="37">
        <v>47895</v>
      </c>
      <c r="L57" s="37">
        <v>210</v>
      </c>
      <c r="M57" s="37" t="s">
        <v>16</v>
      </c>
      <c r="N57" s="45">
        <v>0.14843585975225701</v>
      </c>
      <c r="O57" s="39" t="s">
        <v>19</v>
      </c>
    </row>
    <row r="58" spans="1:15" x14ac:dyDescent="0.3">
      <c r="A58" s="32" t="s">
        <v>304</v>
      </c>
      <c r="B58" s="33" t="s">
        <v>22</v>
      </c>
      <c r="C58" s="34">
        <v>45693</v>
      </c>
      <c r="D58" s="33" t="s">
        <v>23</v>
      </c>
      <c r="E58" s="33" t="s">
        <v>15</v>
      </c>
      <c r="F58" s="33"/>
      <c r="G58" s="33">
        <v>3029</v>
      </c>
      <c r="H58" s="33">
        <v>440</v>
      </c>
      <c r="I58" s="33">
        <v>66</v>
      </c>
      <c r="J58" s="33">
        <v>23815</v>
      </c>
      <c r="K58" s="33">
        <v>47895</v>
      </c>
      <c r="L58" s="33">
        <v>210</v>
      </c>
      <c r="M58" s="33" t="s">
        <v>16</v>
      </c>
      <c r="N58" s="44">
        <v>0.14843585975225701</v>
      </c>
      <c r="O58" s="35" t="s">
        <v>355</v>
      </c>
    </row>
    <row r="59" spans="1:15" x14ac:dyDescent="0.3">
      <c r="A59" s="36" t="s">
        <v>116</v>
      </c>
      <c r="B59" s="37" t="s">
        <v>22</v>
      </c>
      <c r="C59" s="38">
        <v>45660</v>
      </c>
      <c r="D59" s="37" t="s">
        <v>23</v>
      </c>
      <c r="E59" s="37" t="s">
        <v>32</v>
      </c>
      <c r="F59" s="37"/>
      <c r="G59" s="37">
        <v>4845</v>
      </c>
      <c r="H59" s="37">
        <v>158</v>
      </c>
      <c r="I59" s="37">
        <v>84</v>
      </c>
      <c r="J59" s="37">
        <v>34578</v>
      </c>
      <c r="K59" s="37">
        <v>51480</v>
      </c>
      <c r="L59" s="37">
        <v>180</v>
      </c>
      <c r="M59" s="37" t="s">
        <v>16</v>
      </c>
      <c r="N59" s="45">
        <v>0.14711666377465399</v>
      </c>
      <c r="O59" s="39" t="s">
        <v>39</v>
      </c>
    </row>
    <row r="60" spans="1:15" x14ac:dyDescent="0.3">
      <c r="A60" s="32" t="s">
        <v>116</v>
      </c>
      <c r="B60" s="33" t="s">
        <v>22</v>
      </c>
      <c r="C60" s="34">
        <v>45660</v>
      </c>
      <c r="D60" s="33" t="s">
        <v>23</v>
      </c>
      <c r="E60" s="33" t="s">
        <v>32</v>
      </c>
      <c r="F60" s="33"/>
      <c r="G60" s="33">
        <v>4845</v>
      </c>
      <c r="H60" s="33">
        <v>158</v>
      </c>
      <c r="I60" s="33">
        <v>84</v>
      </c>
      <c r="J60" s="33">
        <v>34578</v>
      </c>
      <c r="K60" s="33">
        <v>51480</v>
      </c>
      <c r="L60" s="33">
        <v>180</v>
      </c>
      <c r="M60" s="33" t="s">
        <v>16</v>
      </c>
      <c r="N60" s="44">
        <v>0.14711666377465399</v>
      </c>
      <c r="O60" s="35" t="s">
        <v>36</v>
      </c>
    </row>
    <row r="61" spans="1:15" x14ac:dyDescent="0.3">
      <c r="A61" s="36" t="s">
        <v>282</v>
      </c>
      <c r="B61" s="37" t="s">
        <v>13</v>
      </c>
      <c r="C61" s="38">
        <v>45357</v>
      </c>
      <c r="D61" s="37" t="s">
        <v>14</v>
      </c>
      <c r="E61" s="37" t="s">
        <v>360</v>
      </c>
      <c r="F61" s="37" t="s">
        <v>361</v>
      </c>
      <c r="G61" s="37">
        <v>3529</v>
      </c>
      <c r="H61" s="37">
        <v>263</v>
      </c>
      <c r="I61" s="37">
        <v>107</v>
      </c>
      <c r="J61" s="37">
        <v>26570</v>
      </c>
      <c r="K61" s="37">
        <v>19367</v>
      </c>
      <c r="L61" s="37">
        <v>96</v>
      </c>
      <c r="M61" s="37" t="s">
        <v>20</v>
      </c>
      <c r="N61" s="45">
        <v>0.14674444862627001</v>
      </c>
      <c r="O61" s="39" t="s">
        <v>19</v>
      </c>
    </row>
    <row r="62" spans="1:15" x14ac:dyDescent="0.3">
      <c r="A62" s="32" t="s">
        <v>79</v>
      </c>
      <c r="B62" s="33" t="s">
        <v>13</v>
      </c>
      <c r="C62" s="34">
        <v>45334</v>
      </c>
      <c r="D62" s="33" t="s">
        <v>14</v>
      </c>
      <c r="E62" s="33" t="s">
        <v>18</v>
      </c>
      <c r="F62" s="33"/>
      <c r="G62" s="33">
        <v>2923</v>
      </c>
      <c r="H62" s="33">
        <v>330</v>
      </c>
      <c r="I62" s="33">
        <v>250</v>
      </c>
      <c r="J62" s="33">
        <v>23993</v>
      </c>
      <c r="K62" s="33">
        <v>74590</v>
      </c>
      <c r="L62" s="33">
        <v>92</v>
      </c>
      <c r="M62" s="33" t="s">
        <v>20</v>
      </c>
      <c r="N62" s="44">
        <v>0.146000916934106</v>
      </c>
      <c r="O62" s="35" t="s">
        <v>19</v>
      </c>
    </row>
    <row r="63" spans="1:15" x14ac:dyDescent="0.3">
      <c r="A63" s="36" t="s">
        <v>135</v>
      </c>
      <c r="B63" s="37" t="s">
        <v>22</v>
      </c>
      <c r="C63" s="38">
        <v>45591</v>
      </c>
      <c r="D63" s="37" t="s">
        <v>14</v>
      </c>
      <c r="E63" s="37" t="s">
        <v>15</v>
      </c>
      <c r="F63" s="37"/>
      <c r="G63" s="37">
        <v>3036</v>
      </c>
      <c r="H63" s="37">
        <v>293</v>
      </c>
      <c r="I63" s="37">
        <v>115</v>
      </c>
      <c r="J63" s="37">
        <v>23776</v>
      </c>
      <c r="K63" s="37">
        <v>46386</v>
      </c>
      <c r="L63" s="37">
        <v>282</v>
      </c>
      <c r="M63" s="37" t="s">
        <v>16</v>
      </c>
      <c r="N63" s="45">
        <v>0.144851951547779</v>
      </c>
      <c r="O63" s="39" t="s">
        <v>36</v>
      </c>
    </row>
    <row r="64" spans="1:15" x14ac:dyDescent="0.3">
      <c r="A64" s="32" t="s">
        <v>73</v>
      </c>
      <c r="B64" s="33" t="s">
        <v>22</v>
      </c>
      <c r="C64" s="34">
        <v>45818</v>
      </c>
      <c r="D64" s="33" t="s">
        <v>14</v>
      </c>
      <c r="E64" s="33" t="s">
        <v>18</v>
      </c>
      <c r="F64" s="33"/>
      <c r="G64" s="33">
        <v>3615</v>
      </c>
      <c r="H64" s="33">
        <v>192</v>
      </c>
      <c r="I64" s="33">
        <v>162</v>
      </c>
      <c r="J64" s="33">
        <v>27492</v>
      </c>
      <c r="K64" s="33">
        <v>35341</v>
      </c>
      <c r="L64" s="33">
        <v>125</v>
      </c>
      <c r="M64" s="33" t="s">
        <v>16</v>
      </c>
      <c r="N64" s="44">
        <v>0.14436927106067199</v>
      </c>
      <c r="O64" s="35" t="s">
        <v>36</v>
      </c>
    </row>
    <row r="65" spans="1:15" x14ac:dyDescent="0.3">
      <c r="A65" s="36" t="s">
        <v>127</v>
      </c>
      <c r="B65" s="37" t="s">
        <v>22</v>
      </c>
      <c r="C65" s="38">
        <v>45609</v>
      </c>
      <c r="D65" s="37" t="s">
        <v>23</v>
      </c>
      <c r="E65" s="37" t="s">
        <v>35</v>
      </c>
      <c r="F65" s="37"/>
      <c r="G65" s="37">
        <v>4628</v>
      </c>
      <c r="H65" s="37">
        <v>257</v>
      </c>
      <c r="I65" s="37">
        <v>397</v>
      </c>
      <c r="J65" s="37">
        <v>36686</v>
      </c>
      <c r="K65" s="37">
        <v>54683</v>
      </c>
      <c r="L65" s="37">
        <v>98</v>
      </c>
      <c r="M65" s="37" t="s">
        <v>16</v>
      </c>
      <c r="N65" s="45">
        <v>0.14397862944992601</v>
      </c>
      <c r="O65" s="39" t="s">
        <v>39</v>
      </c>
    </row>
    <row r="66" spans="1:15" x14ac:dyDescent="0.3">
      <c r="A66" s="32" t="s">
        <v>127</v>
      </c>
      <c r="B66" s="33" t="s">
        <v>22</v>
      </c>
      <c r="C66" s="34">
        <v>45609</v>
      </c>
      <c r="D66" s="33" t="s">
        <v>23</v>
      </c>
      <c r="E66" s="33" t="s">
        <v>35</v>
      </c>
      <c r="F66" s="33"/>
      <c r="G66" s="33">
        <v>4628</v>
      </c>
      <c r="H66" s="33">
        <v>257</v>
      </c>
      <c r="I66" s="33">
        <v>397</v>
      </c>
      <c r="J66" s="33">
        <v>36686</v>
      </c>
      <c r="K66" s="33">
        <v>54683</v>
      </c>
      <c r="L66" s="33">
        <v>98</v>
      </c>
      <c r="M66" s="33" t="s">
        <v>16</v>
      </c>
      <c r="N66" s="44">
        <v>0.14397862944992601</v>
      </c>
      <c r="O66" s="35" t="s">
        <v>36</v>
      </c>
    </row>
    <row r="67" spans="1:15" x14ac:dyDescent="0.3">
      <c r="A67" s="36" t="s">
        <v>112</v>
      </c>
      <c r="B67" s="37" t="s">
        <v>28</v>
      </c>
      <c r="C67" s="38">
        <v>45304</v>
      </c>
      <c r="D67" s="37" t="s">
        <v>51</v>
      </c>
      <c r="E67" s="37" t="s">
        <v>24</v>
      </c>
      <c r="F67" s="37"/>
      <c r="G67" s="37">
        <v>4781</v>
      </c>
      <c r="H67" s="37">
        <v>191</v>
      </c>
      <c r="I67" s="37">
        <v>122</v>
      </c>
      <c r="J67" s="37">
        <v>35535</v>
      </c>
      <c r="K67" s="37">
        <v>50777</v>
      </c>
      <c r="L67" s="37">
        <v>128</v>
      </c>
      <c r="M67" s="37" t="s">
        <v>52</v>
      </c>
      <c r="N67" s="45">
        <v>0.143351625158295</v>
      </c>
      <c r="O67" s="39" t="s">
        <v>19</v>
      </c>
    </row>
    <row r="68" spans="1:15" x14ac:dyDescent="0.3">
      <c r="A68" s="32" t="s">
        <v>112</v>
      </c>
      <c r="B68" s="33" t="s">
        <v>28</v>
      </c>
      <c r="C68" s="34">
        <v>45304</v>
      </c>
      <c r="D68" s="33" t="s">
        <v>51</v>
      </c>
      <c r="E68" s="33" t="s">
        <v>24</v>
      </c>
      <c r="F68" s="33"/>
      <c r="G68" s="33">
        <v>4781</v>
      </c>
      <c r="H68" s="33">
        <v>191</v>
      </c>
      <c r="I68" s="33">
        <v>122</v>
      </c>
      <c r="J68" s="33">
        <v>35535</v>
      </c>
      <c r="K68" s="33">
        <v>50777</v>
      </c>
      <c r="L68" s="33">
        <v>128</v>
      </c>
      <c r="M68" s="33" t="s">
        <v>52</v>
      </c>
      <c r="N68" s="44">
        <v>0.143351625158295</v>
      </c>
      <c r="O68" s="35" t="s">
        <v>39</v>
      </c>
    </row>
    <row r="69" spans="1:15" x14ac:dyDescent="0.3">
      <c r="A69" s="36" t="s">
        <v>128</v>
      </c>
      <c r="B69" s="37" t="s">
        <v>13</v>
      </c>
      <c r="C69" s="38">
        <v>45373</v>
      </c>
      <c r="D69" s="37" t="s">
        <v>23</v>
      </c>
      <c r="E69" s="37" t="s">
        <v>15</v>
      </c>
      <c r="F69" s="37"/>
      <c r="G69" s="37">
        <v>2319</v>
      </c>
      <c r="H69" s="37">
        <v>484</v>
      </c>
      <c r="I69" s="37">
        <v>193</v>
      </c>
      <c r="J69" s="37">
        <v>21202</v>
      </c>
      <c r="K69" s="37">
        <v>18091</v>
      </c>
      <c r="L69" s="37">
        <v>241</v>
      </c>
      <c r="M69" s="37" t="s">
        <v>49</v>
      </c>
      <c r="N69" s="45">
        <v>0.14130742382794101</v>
      </c>
      <c r="O69" s="39" t="s">
        <v>36</v>
      </c>
    </row>
    <row r="70" spans="1:15" x14ac:dyDescent="0.3">
      <c r="A70" s="32" t="s">
        <v>48</v>
      </c>
      <c r="B70" s="33" t="s">
        <v>13</v>
      </c>
      <c r="C70" s="34">
        <v>45325</v>
      </c>
      <c r="D70" s="33" t="s">
        <v>23</v>
      </c>
      <c r="E70" s="33" t="s">
        <v>29</v>
      </c>
      <c r="F70" s="33"/>
      <c r="G70" s="33">
        <v>4281</v>
      </c>
      <c r="H70" s="33">
        <v>101</v>
      </c>
      <c r="I70" s="33">
        <v>163</v>
      </c>
      <c r="J70" s="33">
        <v>32278</v>
      </c>
      <c r="K70" s="33">
        <v>53382</v>
      </c>
      <c r="L70" s="33">
        <v>235</v>
      </c>
      <c r="M70" s="33" t="s">
        <v>49</v>
      </c>
      <c r="N70" s="44">
        <v>0.140807980667947</v>
      </c>
      <c r="O70" s="35" t="s">
        <v>36</v>
      </c>
    </row>
    <row r="71" spans="1:15" x14ac:dyDescent="0.3">
      <c r="A71" s="36" t="s">
        <v>232</v>
      </c>
      <c r="B71" s="37" t="s">
        <v>22</v>
      </c>
      <c r="C71" s="38">
        <v>45484</v>
      </c>
      <c r="D71" s="37" t="s">
        <v>23</v>
      </c>
      <c r="E71" s="37" t="s">
        <v>32</v>
      </c>
      <c r="F71" s="37"/>
      <c r="G71" s="37">
        <v>4247</v>
      </c>
      <c r="H71" s="37">
        <v>179</v>
      </c>
      <c r="I71" s="37">
        <v>175</v>
      </c>
      <c r="J71" s="37">
        <v>32991</v>
      </c>
      <c r="K71" s="37">
        <v>70120</v>
      </c>
      <c r="L71" s="37">
        <v>276</v>
      </c>
      <c r="M71" s="37" t="s">
        <v>16</v>
      </c>
      <c r="N71" s="45">
        <v>0.139462277590858</v>
      </c>
      <c r="O71" s="39" t="s">
        <v>39</v>
      </c>
    </row>
    <row r="72" spans="1:15" x14ac:dyDescent="0.3">
      <c r="A72" s="32" t="s">
        <v>232</v>
      </c>
      <c r="B72" s="33" t="s">
        <v>22</v>
      </c>
      <c r="C72" s="34">
        <v>45484</v>
      </c>
      <c r="D72" s="33" t="s">
        <v>23</v>
      </c>
      <c r="E72" s="33" t="s">
        <v>32</v>
      </c>
      <c r="F72" s="33"/>
      <c r="G72" s="33">
        <v>4247</v>
      </c>
      <c r="H72" s="33">
        <v>179</v>
      </c>
      <c r="I72" s="33">
        <v>175</v>
      </c>
      <c r="J72" s="33">
        <v>32991</v>
      </c>
      <c r="K72" s="33">
        <v>70120</v>
      </c>
      <c r="L72" s="33">
        <v>276</v>
      </c>
      <c r="M72" s="33" t="s">
        <v>16</v>
      </c>
      <c r="N72" s="44">
        <v>0.139462277590858</v>
      </c>
      <c r="O72" s="35" t="s">
        <v>36</v>
      </c>
    </row>
    <row r="73" spans="1:15" x14ac:dyDescent="0.3">
      <c r="A73" s="36" t="s">
        <v>89</v>
      </c>
      <c r="B73" s="37" t="s">
        <v>13</v>
      </c>
      <c r="C73" s="38">
        <v>45707</v>
      </c>
      <c r="D73" s="37" t="s">
        <v>23</v>
      </c>
      <c r="E73" s="37" t="s">
        <v>43</v>
      </c>
      <c r="F73" s="37"/>
      <c r="G73" s="37">
        <v>2422</v>
      </c>
      <c r="H73" s="37">
        <v>455</v>
      </c>
      <c r="I73" s="37">
        <v>376</v>
      </c>
      <c r="J73" s="37">
        <v>23428</v>
      </c>
      <c r="K73" s="37">
        <v>46775</v>
      </c>
      <c r="L73" s="37">
        <v>259</v>
      </c>
      <c r="M73" s="37" t="s">
        <v>49</v>
      </c>
      <c r="N73" s="45">
        <v>0.138850947584087</v>
      </c>
      <c r="O73" s="39" t="s">
        <v>36</v>
      </c>
    </row>
    <row r="74" spans="1:15" x14ac:dyDescent="0.3">
      <c r="A74" s="32" t="s">
        <v>142</v>
      </c>
      <c r="B74" s="33" t="s">
        <v>13</v>
      </c>
      <c r="C74" s="34">
        <v>45617</v>
      </c>
      <c r="D74" s="33" t="s">
        <v>14</v>
      </c>
      <c r="E74" s="33" t="s">
        <v>29</v>
      </c>
      <c r="F74" s="33"/>
      <c r="G74" s="33">
        <v>4581</v>
      </c>
      <c r="H74" s="33">
        <v>181</v>
      </c>
      <c r="I74" s="33">
        <v>112</v>
      </c>
      <c r="J74" s="33">
        <v>35221</v>
      </c>
      <c r="K74" s="33">
        <v>28797</v>
      </c>
      <c r="L74" s="33">
        <v>164</v>
      </c>
      <c r="M74" s="33" t="s">
        <v>16</v>
      </c>
      <c r="N74" s="44">
        <v>0.13838335084182701</v>
      </c>
      <c r="O74" s="35" t="s">
        <v>39</v>
      </c>
    </row>
    <row r="75" spans="1:15" x14ac:dyDescent="0.3">
      <c r="A75" s="36" t="s">
        <v>142</v>
      </c>
      <c r="B75" s="37" t="s">
        <v>13</v>
      </c>
      <c r="C75" s="38">
        <v>45617</v>
      </c>
      <c r="D75" s="37" t="s">
        <v>14</v>
      </c>
      <c r="E75" s="37" t="s">
        <v>29</v>
      </c>
      <c r="F75" s="37"/>
      <c r="G75" s="37">
        <v>4581</v>
      </c>
      <c r="H75" s="37">
        <v>181</v>
      </c>
      <c r="I75" s="37">
        <v>112</v>
      </c>
      <c r="J75" s="37">
        <v>35221</v>
      </c>
      <c r="K75" s="37">
        <v>28797</v>
      </c>
      <c r="L75" s="37">
        <v>164</v>
      </c>
      <c r="M75" s="37" t="s">
        <v>16</v>
      </c>
      <c r="N75" s="45">
        <v>0.13838335084182701</v>
      </c>
      <c r="O75" s="39" t="s">
        <v>36</v>
      </c>
    </row>
    <row r="76" spans="1:15" x14ac:dyDescent="0.3">
      <c r="A76" s="32" t="s">
        <v>129</v>
      </c>
      <c r="B76" s="33" t="s">
        <v>22</v>
      </c>
      <c r="C76" s="34">
        <v>45367</v>
      </c>
      <c r="D76" s="33" t="s">
        <v>23</v>
      </c>
      <c r="E76" s="33" t="s">
        <v>26</v>
      </c>
      <c r="F76" s="33"/>
      <c r="G76" s="33">
        <v>2895</v>
      </c>
      <c r="H76" s="33">
        <v>292</v>
      </c>
      <c r="I76" s="33">
        <v>90</v>
      </c>
      <c r="J76" s="33">
        <v>24223</v>
      </c>
      <c r="K76" s="33">
        <v>54626</v>
      </c>
      <c r="L76" s="33">
        <v>114</v>
      </c>
      <c r="M76" s="33" t="s">
        <v>16</v>
      </c>
      <c r="N76" s="44">
        <v>0.13528464682326699</v>
      </c>
      <c r="O76" s="35" t="s">
        <v>39</v>
      </c>
    </row>
    <row r="77" spans="1:15" x14ac:dyDescent="0.3">
      <c r="A77" s="36" t="s">
        <v>129</v>
      </c>
      <c r="B77" s="37" t="s">
        <v>22</v>
      </c>
      <c r="C77" s="38">
        <v>45367</v>
      </c>
      <c r="D77" s="37" t="s">
        <v>23</v>
      </c>
      <c r="E77" s="37" t="s">
        <v>26</v>
      </c>
      <c r="F77" s="37"/>
      <c r="G77" s="37">
        <v>2895</v>
      </c>
      <c r="H77" s="37">
        <v>292</v>
      </c>
      <c r="I77" s="37">
        <v>90</v>
      </c>
      <c r="J77" s="37">
        <v>24223</v>
      </c>
      <c r="K77" s="37">
        <v>54626</v>
      </c>
      <c r="L77" s="37">
        <v>114</v>
      </c>
      <c r="M77" s="37" t="s">
        <v>16</v>
      </c>
      <c r="N77" s="45">
        <v>0.13528464682326699</v>
      </c>
      <c r="O77" s="39" t="s">
        <v>36</v>
      </c>
    </row>
    <row r="78" spans="1:15" x14ac:dyDescent="0.3">
      <c r="A78" s="32" t="s">
        <v>111</v>
      </c>
      <c r="B78" s="33" t="s">
        <v>22</v>
      </c>
      <c r="C78" s="34">
        <v>45678</v>
      </c>
      <c r="D78" s="33" t="s">
        <v>23</v>
      </c>
      <c r="E78" s="33" t="s">
        <v>15</v>
      </c>
      <c r="F78" s="33"/>
      <c r="G78" s="33">
        <v>2494</v>
      </c>
      <c r="H78" s="33">
        <v>494</v>
      </c>
      <c r="I78" s="33">
        <v>55</v>
      </c>
      <c r="J78" s="33">
        <v>22580</v>
      </c>
      <c r="K78" s="33">
        <v>22214</v>
      </c>
      <c r="L78" s="33">
        <v>109</v>
      </c>
      <c r="M78" s="33" t="s">
        <v>16</v>
      </c>
      <c r="N78" s="44">
        <v>0.134765279007972</v>
      </c>
      <c r="O78" s="35" t="s">
        <v>355</v>
      </c>
    </row>
    <row r="79" spans="1:15" x14ac:dyDescent="0.3">
      <c r="A79" s="36" t="s">
        <v>111</v>
      </c>
      <c r="B79" s="37" t="s">
        <v>22</v>
      </c>
      <c r="C79" s="38">
        <v>45678</v>
      </c>
      <c r="D79" s="37" t="s">
        <v>23</v>
      </c>
      <c r="E79" s="37" t="s">
        <v>15</v>
      </c>
      <c r="F79" s="37"/>
      <c r="G79" s="37">
        <v>2494</v>
      </c>
      <c r="H79" s="37">
        <v>494</v>
      </c>
      <c r="I79" s="37">
        <v>55</v>
      </c>
      <c r="J79" s="37">
        <v>22580</v>
      </c>
      <c r="K79" s="37">
        <v>22214</v>
      </c>
      <c r="L79" s="37">
        <v>109</v>
      </c>
      <c r="M79" s="37" t="s">
        <v>16</v>
      </c>
      <c r="N79" s="45">
        <v>0.134765279007972</v>
      </c>
      <c r="O79" s="39" t="s">
        <v>36</v>
      </c>
    </row>
    <row r="80" spans="1:15" x14ac:dyDescent="0.3">
      <c r="A80" s="32" t="s">
        <v>275</v>
      </c>
      <c r="B80" s="33" t="s">
        <v>22</v>
      </c>
      <c r="C80" s="34">
        <v>45759</v>
      </c>
      <c r="D80" s="33" t="s">
        <v>23</v>
      </c>
      <c r="E80" s="33" t="s">
        <v>43</v>
      </c>
      <c r="F80" s="33"/>
      <c r="G80" s="33">
        <v>4315</v>
      </c>
      <c r="H80" s="33">
        <v>208</v>
      </c>
      <c r="I80" s="33">
        <v>273</v>
      </c>
      <c r="J80" s="33">
        <v>35780</v>
      </c>
      <c r="K80" s="33">
        <v>44349</v>
      </c>
      <c r="L80" s="33">
        <v>133</v>
      </c>
      <c r="M80" s="33" t="s">
        <v>16</v>
      </c>
      <c r="N80" s="44">
        <v>0.13404136389044199</v>
      </c>
      <c r="O80" s="35" t="s">
        <v>19</v>
      </c>
    </row>
    <row r="81" spans="1:15" x14ac:dyDescent="0.3">
      <c r="A81" s="36" t="s">
        <v>275</v>
      </c>
      <c r="B81" s="37" t="s">
        <v>22</v>
      </c>
      <c r="C81" s="38">
        <v>45759</v>
      </c>
      <c r="D81" s="37" t="s">
        <v>23</v>
      </c>
      <c r="E81" s="37" t="s">
        <v>43</v>
      </c>
      <c r="F81" s="37"/>
      <c r="G81" s="37">
        <v>4315</v>
      </c>
      <c r="H81" s="37">
        <v>208</v>
      </c>
      <c r="I81" s="37">
        <v>273</v>
      </c>
      <c r="J81" s="37">
        <v>35780</v>
      </c>
      <c r="K81" s="37">
        <v>44349</v>
      </c>
      <c r="L81" s="37">
        <v>133</v>
      </c>
      <c r="M81" s="37" t="s">
        <v>16</v>
      </c>
      <c r="N81" s="45">
        <v>0.13404136389044199</v>
      </c>
      <c r="O81" s="39" t="s">
        <v>355</v>
      </c>
    </row>
    <row r="82" spans="1:15" x14ac:dyDescent="0.3">
      <c r="A82" s="32" t="s">
        <v>12</v>
      </c>
      <c r="B82" s="33" t="s">
        <v>13</v>
      </c>
      <c r="C82" s="34">
        <v>45781</v>
      </c>
      <c r="D82" s="33" t="s">
        <v>14</v>
      </c>
      <c r="E82" s="33" t="s">
        <v>15</v>
      </c>
      <c r="F82" s="33"/>
      <c r="G82" s="33">
        <v>2414</v>
      </c>
      <c r="H82" s="33">
        <v>245</v>
      </c>
      <c r="I82" s="33">
        <v>137</v>
      </c>
      <c r="J82" s="33">
        <v>21181</v>
      </c>
      <c r="K82" s="33">
        <v>45292</v>
      </c>
      <c r="L82" s="33">
        <v>133</v>
      </c>
      <c r="M82" s="33" t="s">
        <v>16</v>
      </c>
      <c r="N82" s="44">
        <v>0.13200509890939999</v>
      </c>
      <c r="O82" s="35" t="s">
        <v>39</v>
      </c>
    </row>
    <row r="83" spans="1:15" x14ac:dyDescent="0.3">
      <c r="A83" s="36" t="s">
        <v>12</v>
      </c>
      <c r="B83" s="37" t="s">
        <v>13</v>
      </c>
      <c r="C83" s="38">
        <v>45781</v>
      </c>
      <c r="D83" s="37" t="s">
        <v>14</v>
      </c>
      <c r="E83" s="37" t="s">
        <v>15</v>
      </c>
      <c r="F83" s="37"/>
      <c r="G83" s="37">
        <v>2414</v>
      </c>
      <c r="H83" s="37">
        <v>245</v>
      </c>
      <c r="I83" s="37">
        <v>137</v>
      </c>
      <c r="J83" s="37">
        <v>21181</v>
      </c>
      <c r="K83" s="37">
        <v>45292</v>
      </c>
      <c r="L83" s="37">
        <v>133</v>
      </c>
      <c r="M83" s="37" t="s">
        <v>16</v>
      </c>
      <c r="N83" s="45">
        <v>0.13200509890939999</v>
      </c>
      <c r="O83" s="39" t="s">
        <v>36</v>
      </c>
    </row>
    <row r="84" spans="1:15" x14ac:dyDescent="0.3">
      <c r="A84" s="32" t="s">
        <v>27</v>
      </c>
      <c r="B84" s="33" t="s">
        <v>28</v>
      </c>
      <c r="C84" s="34">
        <v>45388</v>
      </c>
      <c r="D84" s="33" t="s">
        <v>14</v>
      </c>
      <c r="E84" s="33" t="s">
        <v>29</v>
      </c>
      <c r="F84" s="33"/>
      <c r="G84" s="33">
        <v>2748</v>
      </c>
      <c r="H84" s="33">
        <v>145</v>
      </c>
      <c r="I84" s="33">
        <v>315</v>
      </c>
      <c r="J84" s="33">
        <v>24401</v>
      </c>
      <c r="K84" s="33">
        <v>61182</v>
      </c>
      <c r="L84" s="33">
        <v>200</v>
      </c>
      <c r="M84" s="33" t="s">
        <v>20</v>
      </c>
      <c r="N84" s="44">
        <v>0.13147002172042099</v>
      </c>
      <c r="O84" s="35" t="s">
        <v>19</v>
      </c>
    </row>
    <row r="85" spans="1:15" x14ac:dyDescent="0.3">
      <c r="A85" s="36" t="s">
        <v>27</v>
      </c>
      <c r="B85" s="37" t="s">
        <v>28</v>
      </c>
      <c r="C85" s="38">
        <v>45388</v>
      </c>
      <c r="D85" s="37" t="s">
        <v>14</v>
      </c>
      <c r="E85" s="37" t="s">
        <v>29</v>
      </c>
      <c r="F85" s="37"/>
      <c r="G85" s="37">
        <v>2748</v>
      </c>
      <c r="H85" s="37">
        <v>145</v>
      </c>
      <c r="I85" s="37">
        <v>315</v>
      </c>
      <c r="J85" s="37">
        <v>24401</v>
      </c>
      <c r="K85" s="37">
        <v>61182</v>
      </c>
      <c r="L85" s="37">
        <v>200</v>
      </c>
      <c r="M85" s="37" t="s">
        <v>20</v>
      </c>
      <c r="N85" s="45">
        <v>0.13147002172042099</v>
      </c>
      <c r="O85" s="39" t="s">
        <v>354</v>
      </c>
    </row>
    <row r="86" spans="1:15" x14ac:dyDescent="0.3">
      <c r="A86" s="32" t="s">
        <v>270</v>
      </c>
      <c r="B86" s="33" t="s">
        <v>28</v>
      </c>
      <c r="C86" s="34">
        <v>45305</v>
      </c>
      <c r="D86" s="33" t="s">
        <v>14</v>
      </c>
      <c r="E86" s="33" t="s">
        <v>360</v>
      </c>
      <c r="F86" s="33" t="s">
        <v>361</v>
      </c>
      <c r="G86" s="33">
        <v>4502</v>
      </c>
      <c r="H86" s="33">
        <v>238</v>
      </c>
      <c r="I86" s="33">
        <v>386</v>
      </c>
      <c r="J86" s="33">
        <v>39198</v>
      </c>
      <c r="K86" s="33">
        <v>25050</v>
      </c>
      <c r="L86" s="33">
        <v>297</v>
      </c>
      <c r="M86" s="33" t="s">
        <v>20</v>
      </c>
      <c r="N86" s="44">
        <v>0.130771978162151</v>
      </c>
      <c r="O86" s="35" t="s">
        <v>19</v>
      </c>
    </row>
    <row r="87" spans="1:15" x14ac:dyDescent="0.3">
      <c r="A87" s="36" t="s">
        <v>270</v>
      </c>
      <c r="B87" s="37" t="s">
        <v>28</v>
      </c>
      <c r="C87" s="38">
        <v>45305</v>
      </c>
      <c r="D87" s="37" t="s">
        <v>14</v>
      </c>
      <c r="E87" s="37" t="s">
        <v>360</v>
      </c>
      <c r="F87" s="37" t="s">
        <v>361</v>
      </c>
      <c r="G87" s="37">
        <v>4502</v>
      </c>
      <c r="H87" s="37">
        <v>238</v>
      </c>
      <c r="I87" s="37">
        <v>386</v>
      </c>
      <c r="J87" s="37">
        <v>39198</v>
      </c>
      <c r="K87" s="37">
        <v>25050</v>
      </c>
      <c r="L87" s="37">
        <v>297</v>
      </c>
      <c r="M87" s="37" t="s">
        <v>20</v>
      </c>
      <c r="N87" s="45">
        <v>0.130771978162151</v>
      </c>
      <c r="O87" s="39" t="s">
        <v>354</v>
      </c>
    </row>
    <row r="88" spans="1:15" x14ac:dyDescent="0.3">
      <c r="A88" s="32" t="s">
        <v>37</v>
      </c>
      <c r="B88" s="33" t="s">
        <v>22</v>
      </c>
      <c r="C88" s="34">
        <v>45630</v>
      </c>
      <c r="D88" s="33" t="s">
        <v>14</v>
      </c>
      <c r="E88" s="33" t="s">
        <v>26</v>
      </c>
      <c r="F88" s="33"/>
      <c r="G88" s="33">
        <v>2357</v>
      </c>
      <c r="H88" s="33">
        <v>274</v>
      </c>
      <c r="I88" s="33">
        <v>172</v>
      </c>
      <c r="J88" s="33">
        <v>21566</v>
      </c>
      <c r="K88" s="33">
        <v>66829</v>
      </c>
      <c r="L88" s="33">
        <v>284</v>
      </c>
      <c r="M88" s="33" t="s">
        <v>16</v>
      </c>
      <c r="N88" s="44">
        <v>0.129973105814708</v>
      </c>
      <c r="O88" s="35" t="s">
        <v>36</v>
      </c>
    </row>
    <row r="89" spans="1:15" x14ac:dyDescent="0.3">
      <c r="A89" s="36" t="s">
        <v>325</v>
      </c>
      <c r="B89" s="37" t="s">
        <v>22</v>
      </c>
      <c r="C89" s="38">
        <v>45599</v>
      </c>
      <c r="D89" s="37" t="s">
        <v>23</v>
      </c>
      <c r="E89" s="37" t="s">
        <v>18</v>
      </c>
      <c r="F89" s="37"/>
      <c r="G89" s="37">
        <v>3061</v>
      </c>
      <c r="H89" s="37">
        <v>320</v>
      </c>
      <c r="I89" s="37">
        <v>76</v>
      </c>
      <c r="J89" s="37">
        <v>26640</v>
      </c>
      <c r="K89" s="37">
        <v>24306</v>
      </c>
      <c r="L89" s="37">
        <v>112</v>
      </c>
      <c r="M89" s="37" t="s">
        <v>16</v>
      </c>
      <c r="N89" s="45">
        <v>0.12976726726726701</v>
      </c>
      <c r="O89" s="39" t="s">
        <v>355</v>
      </c>
    </row>
    <row r="90" spans="1:15" x14ac:dyDescent="0.3">
      <c r="A90" s="32" t="s">
        <v>325</v>
      </c>
      <c r="B90" s="33" t="s">
        <v>22</v>
      </c>
      <c r="C90" s="34">
        <v>45599</v>
      </c>
      <c r="D90" s="33" t="s">
        <v>23</v>
      </c>
      <c r="E90" s="33" t="s">
        <v>18</v>
      </c>
      <c r="F90" s="33"/>
      <c r="G90" s="33">
        <v>3061</v>
      </c>
      <c r="H90" s="33">
        <v>320</v>
      </c>
      <c r="I90" s="33">
        <v>76</v>
      </c>
      <c r="J90" s="33">
        <v>26640</v>
      </c>
      <c r="K90" s="33">
        <v>24306</v>
      </c>
      <c r="L90" s="33">
        <v>112</v>
      </c>
      <c r="M90" s="33" t="s">
        <v>16</v>
      </c>
      <c r="N90" s="44">
        <v>0.12976726726726701</v>
      </c>
      <c r="O90" s="35" t="s">
        <v>36</v>
      </c>
    </row>
    <row r="91" spans="1:15" x14ac:dyDescent="0.3">
      <c r="A91" s="36" t="s">
        <v>220</v>
      </c>
      <c r="B91" s="37" t="s">
        <v>28</v>
      </c>
      <c r="C91" s="38">
        <v>45795</v>
      </c>
      <c r="D91" s="37" t="s">
        <v>51</v>
      </c>
      <c r="E91" s="37" t="s">
        <v>26</v>
      </c>
      <c r="F91" s="37"/>
      <c r="G91" s="37">
        <v>4210</v>
      </c>
      <c r="H91" s="37">
        <v>319</v>
      </c>
      <c r="I91" s="37">
        <v>350</v>
      </c>
      <c r="J91" s="37">
        <v>37762</v>
      </c>
      <c r="K91" s="37">
        <v>55162</v>
      </c>
      <c r="L91" s="37">
        <v>204</v>
      </c>
      <c r="M91" s="37" t="s">
        <v>52</v>
      </c>
      <c r="N91" s="45">
        <v>0.12920396165457301</v>
      </c>
      <c r="O91" s="39" t="s">
        <v>19</v>
      </c>
    </row>
    <row r="92" spans="1:15" x14ac:dyDescent="0.3">
      <c r="A92" s="32" t="s">
        <v>220</v>
      </c>
      <c r="B92" s="33" t="s">
        <v>28</v>
      </c>
      <c r="C92" s="34">
        <v>45795</v>
      </c>
      <c r="D92" s="33" t="s">
        <v>51</v>
      </c>
      <c r="E92" s="33" t="s">
        <v>26</v>
      </c>
      <c r="F92" s="33"/>
      <c r="G92" s="33">
        <v>4210</v>
      </c>
      <c r="H92" s="33">
        <v>319</v>
      </c>
      <c r="I92" s="33">
        <v>350</v>
      </c>
      <c r="J92" s="33">
        <v>37762</v>
      </c>
      <c r="K92" s="33">
        <v>55162</v>
      </c>
      <c r="L92" s="33">
        <v>204</v>
      </c>
      <c r="M92" s="33" t="s">
        <v>52</v>
      </c>
      <c r="N92" s="44">
        <v>0.12920396165457301</v>
      </c>
      <c r="O92" s="35" t="s">
        <v>39</v>
      </c>
    </row>
    <row r="93" spans="1:15" x14ac:dyDescent="0.3">
      <c r="A93" s="36" t="s">
        <v>254</v>
      </c>
      <c r="B93" s="37" t="s">
        <v>22</v>
      </c>
      <c r="C93" s="38">
        <v>45786</v>
      </c>
      <c r="D93" s="37" t="s">
        <v>23</v>
      </c>
      <c r="E93" s="37" t="s">
        <v>29</v>
      </c>
      <c r="F93" s="37"/>
      <c r="G93" s="37">
        <v>2778</v>
      </c>
      <c r="H93" s="37">
        <v>241</v>
      </c>
      <c r="I93" s="37">
        <v>317</v>
      </c>
      <c r="J93" s="37">
        <v>26247</v>
      </c>
      <c r="K93" s="37">
        <v>20677</v>
      </c>
      <c r="L93" s="37">
        <v>282</v>
      </c>
      <c r="M93" s="37" t="s">
        <v>16</v>
      </c>
      <c r="N93" s="45">
        <v>0.127100240027432</v>
      </c>
      <c r="O93" s="39" t="s">
        <v>355</v>
      </c>
    </row>
    <row r="94" spans="1:15" x14ac:dyDescent="0.3">
      <c r="A94" s="32" t="s">
        <v>254</v>
      </c>
      <c r="B94" s="33" t="s">
        <v>22</v>
      </c>
      <c r="C94" s="34">
        <v>45786</v>
      </c>
      <c r="D94" s="33" t="s">
        <v>23</v>
      </c>
      <c r="E94" s="33" t="s">
        <v>29</v>
      </c>
      <c r="F94" s="33"/>
      <c r="G94" s="33">
        <v>2778</v>
      </c>
      <c r="H94" s="33">
        <v>241</v>
      </c>
      <c r="I94" s="33">
        <v>317</v>
      </c>
      <c r="J94" s="33">
        <v>26247</v>
      </c>
      <c r="K94" s="33">
        <v>20677</v>
      </c>
      <c r="L94" s="33">
        <v>282</v>
      </c>
      <c r="M94" s="33" t="s">
        <v>16</v>
      </c>
      <c r="N94" s="44">
        <v>0.127100240027432</v>
      </c>
      <c r="O94" s="35" t="s">
        <v>36</v>
      </c>
    </row>
    <row r="95" spans="1:15" x14ac:dyDescent="0.3">
      <c r="A95" s="36" t="s">
        <v>247</v>
      </c>
      <c r="B95" s="37" t="s">
        <v>22</v>
      </c>
      <c r="C95" s="38">
        <v>45574</v>
      </c>
      <c r="D95" s="37" t="s">
        <v>14</v>
      </c>
      <c r="E95" s="37" t="s">
        <v>26</v>
      </c>
      <c r="F95" s="37"/>
      <c r="G95" s="37">
        <v>2659</v>
      </c>
      <c r="H95" s="37">
        <v>167</v>
      </c>
      <c r="I95" s="37">
        <v>73</v>
      </c>
      <c r="J95" s="37">
        <v>23090</v>
      </c>
      <c r="K95" s="37">
        <v>25872</v>
      </c>
      <c r="L95" s="37">
        <v>293</v>
      </c>
      <c r="M95" s="37" t="s">
        <v>20</v>
      </c>
      <c r="N95" s="45">
        <v>0.12555218709398</v>
      </c>
      <c r="O95" s="39" t="s">
        <v>39</v>
      </c>
    </row>
    <row r="96" spans="1:15" x14ac:dyDescent="0.3">
      <c r="A96" s="32" t="s">
        <v>251</v>
      </c>
      <c r="B96" s="33" t="s">
        <v>22</v>
      </c>
      <c r="C96" s="34">
        <v>45579</v>
      </c>
      <c r="D96" s="33" t="s">
        <v>23</v>
      </c>
      <c r="E96" s="33" t="s">
        <v>18</v>
      </c>
      <c r="F96" s="33"/>
      <c r="G96" s="33">
        <v>4303</v>
      </c>
      <c r="H96" s="33">
        <v>306</v>
      </c>
      <c r="I96" s="33">
        <v>302</v>
      </c>
      <c r="J96" s="33">
        <v>39575</v>
      </c>
      <c r="K96" s="33">
        <v>33762</v>
      </c>
      <c r="L96" s="33">
        <v>265</v>
      </c>
      <c r="M96" s="33" t="s">
        <v>16</v>
      </c>
      <c r="N96" s="44">
        <v>0.12409349336702501</v>
      </c>
      <c r="O96" s="35" t="s">
        <v>19</v>
      </c>
    </row>
    <row r="97" spans="1:15" x14ac:dyDescent="0.3">
      <c r="A97" s="36" t="s">
        <v>251</v>
      </c>
      <c r="B97" s="37" t="s">
        <v>22</v>
      </c>
      <c r="C97" s="38">
        <v>45579</v>
      </c>
      <c r="D97" s="37" t="s">
        <v>23</v>
      </c>
      <c r="E97" s="37" t="s">
        <v>18</v>
      </c>
      <c r="F97" s="37"/>
      <c r="G97" s="37">
        <v>4303</v>
      </c>
      <c r="H97" s="37">
        <v>306</v>
      </c>
      <c r="I97" s="37">
        <v>302</v>
      </c>
      <c r="J97" s="37">
        <v>39575</v>
      </c>
      <c r="K97" s="37">
        <v>33762</v>
      </c>
      <c r="L97" s="37">
        <v>265</v>
      </c>
      <c r="M97" s="37" t="s">
        <v>16</v>
      </c>
      <c r="N97" s="45">
        <v>0.12409349336702501</v>
      </c>
      <c r="O97" s="39" t="s">
        <v>355</v>
      </c>
    </row>
    <row r="98" spans="1:15" x14ac:dyDescent="0.3">
      <c r="A98" s="32" t="s">
        <v>260</v>
      </c>
      <c r="B98" s="33" t="s">
        <v>28</v>
      </c>
      <c r="C98" s="34">
        <v>45738</v>
      </c>
      <c r="D98" s="33" t="s">
        <v>14</v>
      </c>
      <c r="E98" s="33" t="s">
        <v>29</v>
      </c>
      <c r="F98" s="33"/>
      <c r="G98" s="33">
        <v>4308</v>
      </c>
      <c r="H98" s="33">
        <v>171</v>
      </c>
      <c r="I98" s="33">
        <v>106</v>
      </c>
      <c r="J98" s="33">
        <v>36955</v>
      </c>
      <c r="K98" s="33">
        <v>23949</v>
      </c>
      <c r="L98" s="33">
        <v>294</v>
      </c>
      <c r="M98" s="33" t="s">
        <v>20</v>
      </c>
      <c r="N98" s="44">
        <v>0.124069814639426</v>
      </c>
      <c r="O98" s="35" t="s">
        <v>19</v>
      </c>
    </row>
    <row r="99" spans="1:15" x14ac:dyDescent="0.3">
      <c r="A99" s="36" t="s">
        <v>260</v>
      </c>
      <c r="B99" s="37" t="s">
        <v>28</v>
      </c>
      <c r="C99" s="38">
        <v>45738</v>
      </c>
      <c r="D99" s="37" t="s">
        <v>14</v>
      </c>
      <c r="E99" s="37" t="s">
        <v>29</v>
      </c>
      <c r="F99" s="37"/>
      <c r="G99" s="37">
        <v>4308</v>
      </c>
      <c r="H99" s="37">
        <v>171</v>
      </c>
      <c r="I99" s="37">
        <v>106</v>
      </c>
      <c r="J99" s="37">
        <v>36955</v>
      </c>
      <c r="K99" s="37">
        <v>23949</v>
      </c>
      <c r="L99" s="37">
        <v>294</v>
      </c>
      <c r="M99" s="37" t="s">
        <v>20</v>
      </c>
      <c r="N99" s="45">
        <v>0.124069814639426</v>
      </c>
      <c r="O99" s="39" t="s">
        <v>354</v>
      </c>
    </row>
    <row r="100" spans="1:15" x14ac:dyDescent="0.3">
      <c r="A100" s="32" t="s">
        <v>295</v>
      </c>
      <c r="B100" s="33" t="s">
        <v>22</v>
      </c>
      <c r="C100" s="34">
        <v>45626</v>
      </c>
      <c r="D100" s="33" t="s">
        <v>23</v>
      </c>
      <c r="E100" s="33" t="s">
        <v>18</v>
      </c>
      <c r="F100" s="33"/>
      <c r="G100" s="33">
        <v>4963</v>
      </c>
      <c r="H100" s="33">
        <v>255</v>
      </c>
      <c r="I100" s="33">
        <v>193</v>
      </c>
      <c r="J100" s="33">
        <v>44386</v>
      </c>
      <c r="K100" s="33">
        <v>28415</v>
      </c>
      <c r="L100" s="33">
        <v>174</v>
      </c>
      <c r="M100" s="33" t="s">
        <v>16</v>
      </c>
      <c r="N100" s="44">
        <v>0.121907808768531</v>
      </c>
      <c r="O100" s="35" t="s">
        <v>355</v>
      </c>
    </row>
    <row r="101" spans="1:15" x14ac:dyDescent="0.3">
      <c r="A101" s="36" t="s">
        <v>295</v>
      </c>
      <c r="B101" s="37" t="s">
        <v>22</v>
      </c>
      <c r="C101" s="38">
        <v>45626</v>
      </c>
      <c r="D101" s="37" t="s">
        <v>23</v>
      </c>
      <c r="E101" s="37" t="s">
        <v>18</v>
      </c>
      <c r="F101" s="37"/>
      <c r="G101" s="37">
        <v>4963</v>
      </c>
      <c r="H101" s="37">
        <v>255</v>
      </c>
      <c r="I101" s="37">
        <v>193</v>
      </c>
      <c r="J101" s="37">
        <v>44386</v>
      </c>
      <c r="K101" s="37">
        <v>28415</v>
      </c>
      <c r="L101" s="37">
        <v>174</v>
      </c>
      <c r="M101" s="37" t="s">
        <v>16</v>
      </c>
      <c r="N101" s="45">
        <v>0.121907808768531</v>
      </c>
      <c r="O101" s="39" t="s">
        <v>36</v>
      </c>
    </row>
    <row r="102" spans="1:15" x14ac:dyDescent="0.3">
      <c r="A102" s="32" t="s">
        <v>25</v>
      </c>
      <c r="B102" s="33" t="s">
        <v>13</v>
      </c>
      <c r="C102" s="34">
        <v>45629</v>
      </c>
      <c r="D102" s="33" t="s">
        <v>14</v>
      </c>
      <c r="E102" s="33" t="s">
        <v>26</v>
      </c>
      <c r="F102" s="33"/>
      <c r="G102" s="33">
        <v>3173</v>
      </c>
      <c r="H102" s="33">
        <v>229</v>
      </c>
      <c r="I102" s="33">
        <v>197</v>
      </c>
      <c r="J102" s="33">
        <v>29604</v>
      </c>
      <c r="K102" s="33">
        <v>21809</v>
      </c>
      <c r="L102" s="33">
        <v>272</v>
      </c>
      <c r="M102" s="33" t="s">
        <v>16</v>
      </c>
      <c r="N102" s="44">
        <v>0.12157140926901799</v>
      </c>
      <c r="O102" s="35" t="s">
        <v>39</v>
      </c>
    </row>
    <row r="103" spans="1:15" x14ac:dyDescent="0.3">
      <c r="A103" s="36" t="s">
        <v>25</v>
      </c>
      <c r="B103" s="37" t="s">
        <v>13</v>
      </c>
      <c r="C103" s="38">
        <v>45629</v>
      </c>
      <c r="D103" s="37" t="s">
        <v>14</v>
      </c>
      <c r="E103" s="37" t="s">
        <v>26</v>
      </c>
      <c r="F103" s="37"/>
      <c r="G103" s="37">
        <v>3173</v>
      </c>
      <c r="H103" s="37">
        <v>229</v>
      </c>
      <c r="I103" s="37">
        <v>197</v>
      </c>
      <c r="J103" s="37">
        <v>29604</v>
      </c>
      <c r="K103" s="37">
        <v>21809</v>
      </c>
      <c r="L103" s="37">
        <v>272</v>
      </c>
      <c r="M103" s="37" t="s">
        <v>16</v>
      </c>
      <c r="N103" s="45">
        <v>0.12157140926901799</v>
      </c>
      <c r="O103" s="39" t="s">
        <v>36</v>
      </c>
    </row>
    <row r="104" spans="1:15" x14ac:dyDescent="0.3">
      <c r="A104" s="32" t="s">
        <v>329</v>
      </c>
      <c r="B104" s="33" t="s">
        <v>22</v>
      </c>
      <c r="C104" s="34">
        <v>45736</v>
      </c>
      <c r="D104" s="33" t="s">
        <v>23</v>
      </c>
      <c r="E104" s="33" t="s">
        <v>45</v>
      </c>
      <c r="F104" s="33"/>
      <c r="G104" s="33">
        <v>3393</v>
      </c>
      <c r="H104" s="33">
        <v>104</v>
      </c>
      <c r="I104" s="33">
        <v>79</v>
      </c>
      <c r="J104" s="33">
        <v>30025</v>
      </c>
      <c r="K104" s="33">
        <v>21593</v>
      </c>
      <c r="L104" s="33">
        <v>165</v>
      </c>
      <c r="M104" s="33" t="s">
        <v>16</v>
      </c>
      <c r="N104" s="44">
        <v>0.11910074937552</v>
      </c>
      <c r="O104" s="35" t="s">
        <v>355</v>
      </c>
    </row>
    <row r="105" spans="1:15" x14ac:dyDescent="0.3">
      <c r="A105" s="36" t="s">
        <v>329</v>
      </c>
      <c r="B105" s="37" t="s">
        <v>22</v>
      </c>
      <c r="C105" s="38">
        <v>45736</v>
      </c>
      <c r="D105" s="37" t="s">
        <v>23</v>
      </c>
      <c r="E105" s="37" t="s">
        <v>45</v>
      </c>
      <c r="F105" s="37"/>
      <c r="G105" s="37">
        <v>3393</v>
      </c>
      <c r="H105" s="37">
        <v>104</v>
      </c>
      <c r="I105" s="37">
        <v>79</v>
      </c>
      <c r="J105" s="37">
        <v>30025</v>
      </c>
      <c r="K105" s="37">
        <v>21593</v>
      </c>
      <c r="L105" s="37">
        <v>165</v>
      </c>
      <c r="M105" s="37" t="s">
        <v>16</v>
      </c>
      <c r="N105" s="45">
        <v>0.11910074937552</v>
      </c>
      <c r="O105" s="39" t="s">
        <v>36</v>
      </c>
    </row>
    <row r="106" spans="1:15" x14ac:dyDescent="0.3">
      <c r="A106" s="32" t="s">
        <v>76</v>
      </c>
      <c r="B106" s="33" t="s">
        <v>13</v>
      </c>
      <c r="C106" s="34">
        <v>45702</v>
      </c>
      <c r="D106" s="33" t="s">
        <v>14</v>
      </c>
      <c r="E106" s="33" t="s">
        <v>35</v>
      </c>
      <c r="F106" s="33"/>
      <c r="G106" s="33">
        <v>4891</v>
      </c>
      <c r="H106" s="33">
        <v>450</v>
      </c>
      <c r="I106" s="33">
        <v>387</v>
      </c>
      <c r="J106" s="33">
        <v>48746</v>
      </c>
      <c r="K106" s="33">
        <v>37312</v>
      </c>
      <c r="L106" s="33">
        <v>154</v>
      </c>
      <c r="M106" s="33" t="s">
        <v>16</v>
      </c>
      <c r="N106" s="44">
        <v>0.11750707750379499</v>
      </c>
      <c r="O106" s="35" t="s">
        <v>39</v>
      </c>
    </row>
    <row r="107" spans="1:15" x14ac:dyDescent="0.3">
      <c r="A107" s="36" t="s">
        <v>76</v>
      </c>
      <c r="B107" s="37" t="s">
        <v>13</v>
      </c>
      <c r="C107" s="38">
        <v>45702</v>
      </c>
      <c r="D107" s="37" t="s">
        <v>14</v>
      </c>
      <c r="E107" s="37" t="s">
        <v>35</v>
      </c>
      <c r="F107" s="37"/>
      <c r="G107" s="37">
        <v>4891</v>
      </c>
      <c r="H107" s="37">
        <v>450</v>
      </c>
      <c r="I107" s="37">
        <v>387</v>
      </c>
      <c r="J107" s="37">
        <v>48746</v>
      </c>
      <c r="K107" s="37">
        <v>37312</v>
      </c>
      <c r="L107" s="37">
        <v>154</v>
      </c>
      <c r="M107" s="37" t="s">
        <v>16</v>
      </c>
      <c r="N107" s="45">
        <v>0.11750707750379499</v>
      </c>
      <c r="O107" s="39" t="s">
        <v>36</v>
      </c>
    </row>
    <row r="108" spans="1:15" x14ac:dyDescent="0.3">
      <c r="A108" s="32" t="s">
        <v>175</v>
      </c>
      <c r="B108" s="33" t="s">
        <v>13</v>
      </c>
      <c r="C108" s="34">
        <v>45647</v>
      </c>
      <c r="D108" s="33" t="s">
        <v>23</v>
      </c>
      <c r="E108" s="33" t="s">
        <v>24</v>
      </c>
      <c r="F108" s="33"/>
      <c r="G108" s="33">
        <v>4563</v>
      </c>
      <c r="H108" s="33">
        <v>398</v>
      </c>
      <c r="I108" s="33">
        <v>163</v>
      </c>
      <c r="J108" s="33">
        <v>43679</v>
      </c>
      <c r="K108" s="33">
        <v>48760</v>
      </c>
      <c r="L108" s="33">
        <v>92</v>
      </c>
      <c r="M108" s="33" t="s">
        <v>49</v>
      </c>
      <c r="N108" s="44">
        <v>0.11731037798484401</v>
      </c>
      <c r="O108" s="35" t="s">
        <v>36</v>
      </c>
    </row>
    <row r="109" spans="1:15" x14ac:dyDescent="0.3">
      <c r="A109" s="36" t="s">
        <v>299</v>
      </c>
      <c r="B109" s="37" t="s">
        <v>13</v>
      </c>
      <c r="C109" s="38">
        <v>45442</v>
      </c>
      <c r="D109" s="37" t="s">
        <v>23</v>
      </c>
      <c r="E109" s="37" t="s">
        <v>32</v>
      </c>
      <c r="F109" s="37"/>
      <c r="G109" s="37">
        <v>2448</v>
      </c>
      <c r="H109" s="37">
        <v>464</v>
      </c>
      <c r="I109" s="37">
        <v>98</v>
      </c>
      <c r="J109" s="37">
        <v>25737</v>
      </c>
      <c r="K109" s="37">
        <v>48545</v>
      </c>
      <c r="L109" s="37">
        <v>246</v>
      </c>
      <c r="M109" s="37" t="s">
        <v>49</v>
      </c>
      <c r="N109" s="45">
        <v>0.116952247736721</v>
      </c>
      <c r="O109" s="39" t="s">
        <v>36</v>
      </c>
    </row>
    <row r="110" spans="1:15" x14ac:dyDescent="0.3">
      <c r="A110" s="32" t="s">
        <v>172</v>
      </c>
      <c r="B110" s="33" t="s">
        <v>22</v>
      </c>
      <c r="C110" s="34">
        <v>45725</v>
      </c>
      <c r="D110" s="33" t="s">
        <v>14</v>
      </c>
      <c r="E110" s="33" t="s">
        <v>45</v>
      </c>
      <c r="F110" s="33"/>
      <c r="G110" s="33">
        <v>2754</v>
      </c>
      <c r="H110" s="33">
        <v>215</v>
      </c>
      <c r="I110" s="33">
        <v>264</v>
      </c>
      <c r="J110" s="33">
        <v>27762</v>
      </c>
      <c r="K110" s="33">
        <v>70203</v>
      </c>
      <c r="L110" s="33">
        <v>289</v>
      </c>
      <c r="M110" s="33" t="s">
        <v>16</v>
      </c>
      <c r="N110" s="44">
        <v>0.116454145954902</v>
      </c>
      <c r="O110" s="35" t="s">
        <v>36</v>
      </c>
    </row>
    <row r="111" spans="1:15" x14ac:dyDescent="0.3">
      <c r="A111" s="36" t="s">
        <v>78</v>
      </c>
      <c r="B111" s="37" t="s">
        <v>28</v>
      </c>
      <c r="C111" s="38">
        <v>45487</v>
      </c>
      <c r="D111" s="37" t="s">
        <v>14</v>
      </c>
      <c r="E111" s="37" t="s">
        <v>45</v>
      </c>
      <c r="F111" s="37"/>
      <c r="G111" s="37">
        <v>3806</v>
      </c>
      <c r="H111" s="37">
        <v>114</v>
      </c>
      <c r="I111" s="37">
        <v>278</v>
      </c>
      <c r="J111" s="37">
        <v>36148</v>
      </c>
      <c r="K111" s="37">
        <v>24209</v>
      </c>
      <c r="L111" s="37">
        <v>201</v>
      </c>
      <c r="M111" s="37" t="s">
        <v>20</v>
      </c>
      <c r="N111" s="45">
        <v>0.116133672678986</v>
      </c>
      <c r="O111" s="39" t="s">
        <v>19</v>
      </c>
    </row>
    <row r="112" spans="1:15" x14ac:dyDescent="0.3">
      <c r="A112" s="32" t="s">
        <v>78</v>
      </c>
      <c r="B112" s="33" t="s">
        <v>28</v>
      </c>
      <c r="C112" s="34">
        <v>45487</v>
      </c>
      <c r="D112" s="33" t="s">
        <v>14</v>
      </c>
      <c r="E112" s="33" t="s">
        <v>45</v>
      </c>
      <c r="F112" s="33"/>
      <c r="G112" s="33">
        <v>3806</v>
      </c>
      <c r="H112" s="33">
        <v>114</v>
      </c>
      <c r="I112" s="33">
        <v>278</v>
      </c>
      <c r="J112" s="33">
        <v>36148</v>
      </c>
      <c r="K112" s="33">
        <v>24209</v>
      </c>
      <c r="L112" s="33">
        <v>201</v>
      </c>
      <c r="M112" s="33" t="s">
        <v>20</v>
      </c>
      <c r="N112" s="44">
        <v>0.116133672678986</v>
      </c>
      <c r="O112" s="35" t="s">
        <v>354</v>
      </c>
    </row>
    <row r="113" spans="1:15" x14ac:dyDescent="0.3">
      <c r="A113" s="36" t="s">
        <v>178</v>
      </c>
      <c r="B113" s="37" t="s">
        <v>22</v>
      </c>
      <c r="C113" s="38">
        <v>45805</v>
      </c>
      <c r="D113" s="37" t="s">
        <v>23</v>
      </c>
      <c r="E113" s="37" t="s">
        <v>35</v>
      </c>
      <c r="F113" s="37"/>
      <c r="G113" s="37">
        <v>4287</v>
      </c>
      <c r="H113" s="37">
        <v>273</v>
      </c>
      <c r="I113" s="37">
        <v>122</v>
      </c>
      <c r="J113" s="37">
        <v>40792</v>
      </c>
      <c r="K113" s="37">
        <v>23878</v>
      </c>
      <c r="L113" s="37">
        <v>277</v>
      </c>
      <c r="M113" s="37" t="s">
        <v>16</v>
      </c>
      <c r="N113" s="45">
        <v>0.114777407334772</v>
      </c>
      <c r="O113" s="39" t="s">
        <v>355</v>
      </c>
    </row>
    <row r="114" spans="1:15" x14ac:dyDescent="0.3">
      <c r="A114" s="32" t="s">
        <v>178</v>
      </c>
      <c r="B114" s="33" t="s">
        <v>22</v>
      </c>
      <c r="C114" s="34">
        <v>45805</v>
      </c>
      <c r="D114" s="33" t="s">
        <v>23</v>
      </c>
      <c r="E114" s="33" t="s">
        <v>35</v>
      </c>
      <c r="F114" s="33"/>
      <c r="G114" s="33">
        <v>4287</v>
      </c>
      <c r="H114" s="33">
        <v>273</v>
      </c>
      <c r="I114" s="33">
        <v>122</v>
      </c>
      <c r="J114" s="33">
        <v>40792</v>
      </c>
      <c r="K114" s="33">
        <v>23878</v>
      </c>
      <c r="L114" s="33">
        <v>277</v>
      </c>
      <c r="M114" s="33" t="s">
        <v>16</v>
      </c>
      <c r="N114" s="44">
        <v>0.114777407334772</v>
      </c>
      <c r="O114" s="35" t="s">
        <v>36</v>
      </c>
    </row>
    <row r="115" spans="1:15" x14ac:dyDescent="0.3">
      <c r="A115" s="36" t="s">
        <v>319</v>
      </c>
      <c r="B115" s="37" t="s">
        <v>13</v>
      </c>
      <c r="C115" s="38">
        <v>45413</v>
      </c>
      <c r="D115" s="37" t="s">
        <v>14</v>
      </c>
      <c r="E115" s="37" t="s">
        <v>32</v>
      </c>
      <c r="F115" s="37"/>
      <c r="G115" s="37">
        <v>3359</v>
      </c>
      <c r="H115" s="37">
        <v>137</v>
      </c>
      <c r="I115" s="37">
        <v>387</v>
      </c>
      <c r="J115" s="37">
        <v>33861</v>
      </c>
      <c r="K115" s="37">
        <v>47257</v>
      </c>
      <c r="L115" s="37">
        <v>198</v>
      </c>
      <c r="M115" s="37" t="s">
        <v>20</v>
      </c>
      <c r="N115" s="45">
        <v>0.114674699506807</v>
      </c>
      <c r="O115" s="39" t="s">
        <v>19</v>
      </c>
    </row>
    <row r="116" spans="1:15" x14ac:dyDescent="0.3">
      <c r="A116" s="32" t="s">
        <v>60</v>
      </c>
      <c r="B116" s="33" t="s">
        <v>13</v>
      </c>
      <c r="C116" s="34">
        <v>45625</v>
      </c>
      <c r="D116" s="33" t="s">
        <v>14</v>
      </c>
      <c r="E116" s="33" t="s">
        <v>360</v>
      </c>
      <c r="F116" s="33" t="s">
        <v>361</v>
      </c>
      <c r="G116" s="33">
        <v>2824</v>
      </c>
      <c r="H116" s="33">
        <v>425</v>
      </c>
      <c r="I116" s="33">
        <v>274</v>
      </c>
      <c r="J116" s="33">
        <v>31004</v>
      </c>
      <c r="K116" s="33">
        <v>53488</v>
      </c>
      <c r="L116" s="33">
        <v>268</v>
      </c>
      <c r="M116" s="33" t="s">
        <v>16</v>
      </c>
      <c r="N116" s="44">
        <v>0.11363049929041399</v>
      </c>
      <c r="O116" s="35" t="s">
        <v>39</v>
      </c>
    </row>
    <row r="117" spans="1:15" x14ac:dyDescent="0.3">
      <c r="A117" s="36" t="s">
        <v>60</v>
      </c>
      <c r="B117" s="37" t="s">
        <v>13</v>
      </c>
      <c r="C117" s="38">
        <v>45625</v>
      </c>
      <c r="D117" s="37" t="s">
        <v>14</v>
      </c>
      <c r="E117" s="37" t="s">
        <v>360</v>
      </c>
      <c r="F117" s="37" t="s">
        <v>361</v>
      </c>
      <c r="G117" s="37">
        <v>2824</v>
      </c>
      <c r="H117" s="37">
        <v>425</v>
      </c>
      <c r="I117" s="37">
        <v>274</v>
      </c>
      <c r="J117" s="37">
        <v>31004</v>
      </c>
      <c r="K117" s="37">
        <v>53488</v>
      </c>
      <c r="L117" s="37">
        <v>268</v>
      </c>
      <c r="M117" s="37" t="s">
        <v>16</v>
      </c>
      <c r="N117" s="45">
        <v>0.11363049929041399</v>
      </c>
      <c r="O117" s="39" t="s">
        <v>36</v>
      </c>
    </row>
    <row r="118" spans="1:15" x14ac:dyDescent="0.3">
      <c r="A118" s="32" t="s">
        <v>222</v>
      </c>
      <c r="B118" s="33" t="s">
        <v>28</v>
      </c>
      <c r="C118" s="34">
        <v>45708</v>
      </c>
      <c r="D118" s="33" t="s">
        <v>51</v>
      </c>
      <c r="E118" s="33" t="s">
        <v>32</v>
      </c>
      <c r="F118" s="33"/>
      <c r="G118" s="33">
        <v>4957</v>
      </c>
      <c r="H118" s="33">
        <v>262</v>
      </c>
      <c r="I118" s="33">
        <v>365</v>
      </c>
      <c r="J118" s="33">
        <v>49199</v>
      </c>
      <c r="K118" s="33">
        <v>40314</v>
      </c>
      <c r="L118" s="33">
        <v>216</v>
      </c>
      <c r="M118" s="33" t="s">
        <v>52</v>
      </c>
      <c r="N118" s="44">
        <v>0.113498241834184</v>
      </c>
      <c r="O118" s="35" t="s">
        <v>19</v>
      </c>
    </row>
    <row r="119" spans="1:15" x14ac:dyDescent="0.3">
      <c r="A119" s="36" t="s">
        <v>222</v>
      </c>
      <c r="B119" s="37" t="s">
        <v>28</v>
      </c>
      <c r="C119" s="38">
        <v>45708</v>
      </c>
      <c r="D119" s="37" t="s">
        <v>51</v>
      </c>
      <c r="E119" s="37" t="s">
        <v>32</v>
      </c>
      <c r="F119" s="37"/>
      <c r="G119" s="37">
        <v>4957</v>
      </c>
      <c r="H119" s="37">
        <v>262</v>
      </c>
      <c r="I119" s="37">
        <v>365</v>
      </c>
      <c r="J119" s="37">
        <v>49199</v>
      </c>
      <c r="K119" s="37">
        <v>40314</v>
      </c>
      <c r="L119" s="37">
        <v>216</v>
      </c>
      <c r="M119" s="37" t="s">
        <v>52</v>
      </c>
      <c r="N119" s="45">
        <v>0.113498241834184</v>
      </c>
      <c r="O119" s="39" t="s">
        <v>39</v>
      </c>
    </row>
    <row r="120" spans="1:15" x14ac:dyDescent="0.3">
      <c r="A120" s="32" t="s">
        <v>44</v>
      </c>
      <c r="B120" s="33" t="s">
        <v>22</v>
      </c>
      <c r="C120" s="34">
        <v>45418</v>
      </c>
      <c r="D120" s="33" t="s">
        <v>14</v>
      </c>
      <c r="E120" s="33" t="s">
        <v>45</v>
      </c>
      <c r="F120" s="33"/>
      <c r="G120" s="33">
        <v>3476</v>
      </c>
      <c r="H120" s="33">
        <v>355</v>
      </c>
      <c r="I120" s="33">
        <v>396</v>
      </c>
      <c r="J120" s="33">
        <v>37492</v>
      </c>
      <c r="K120" s="33">
        <v>27285</v>
      </c>
      <c r="L120" s="33">
        <v>179</v>
      </c>
      <c r="M120" s="33" t="s">
        <v>16</v>
      </c>
      <c r="N120" s="44">
        <v>0.11274405206444001</v>
      </c>
      <c r="O120" s="35" t="s">
        <v>36</v>
      </c>
    </row>
    <row r="121" spans="1:15" x14ac:dyDescent="0.3">
      <c r="A121" s="36" t="s">
        <v>195</v>
      </c>
      <c r="B121" s="37" t="s">
        <v>13</v>
      </c>
      <c r="C121" s="38">
        <v>45610</v>
      </c>
      <c r="D121" s="37" t="s">
        <v>14</v>
      </c>
      <c r="E121" s="37" t="s">
        <v>29</v>
      </c>
      <c r="F121" s="37"/>
      <c r="G121" s="37">
        <v>2422</v>
      </c>
      <c r="H121" s="37">
        <v>318</v>
      </c>
      <c r="I121" s="37">
        <v>118</v>
      </c>
      <c r="J121" s="37">
        <v>25386</v>
      </c>
      <c r="K121" s="37">
        <v>20873</v>
      </c>
      <c r="L121" s="37">
        <v>100</v>
      </c>
      <c r="M121" s="37" t="s">
        <v>16</v>
      </c>
      <c r="N121" s="45">
        <v>0.112581737965808</v>
      </c>
      <c r="O121" s="39" t="s">
        <v>39</v>
      </c>
    </row>
    <row r="122" spans="1:15" x14ac:dyDescent="0.3">
      <c r="A122" s="32" t="s">
        <v>195</v>
      </c>
      <c r="B122" s="33" t="s">
        <v>13</v>
      </c>
      <c r="C122" s="34">
        <v>45610</v>
      </c>
      <c r="D122" s="33" t="s">
        <v>14</v>
      </c>
      <c r="E122" s="33" t="s">
        <v>29</v>
      </c>
      <c r="F122" s="33"/>
      <c r="G122" s="33">
        <v>2422</v>
      </c>
      <c r="H122" s="33">
        <v>318</v>
      </c>
      <c r="I122" s="33">
        <v>118</v>
      </c>
      <c r="J122" s="33">
        <v>25386</v>
      </c>
      <c r="K122" s="33">
        <v>20873</v>
      </c>
      <c r="L122" s="33">
        <v>100</v>
      </c>
      <c r="M122" s="33" t="s">
        <v>16</v>
      </c>
      <c r="N122" s="44">
        <v>0.112581737965808</v>
      </c>
      <c r="O122" s="35" t="s">
        <v>36</v>
      </c>
    </row>
    <row r="123" spans="1:15" x14ac:dyDescent="0.3">
      <c r="A123" s="36" t="s">
        <v>313</v>
      </c>
      <c r="B123" s="37" t="s">
        <v>22</v>
      </c>
      <c r="C123" s="38">
        <v>45563</v>
      </c>
      <c r="D123" s="37" t="s">
        <v>23</v>
      </c>
      <c r="E123" s="37" t="s">
        <v>26</v>
      </c>
      <c r="F123" s="37"/>
      <c r="G123" s="37">
        <v>4471</v>
      </c>
      <c r="H123" s="37">
        <v>317</v>
      </c>
      <c r="I123" s="37">
        <v>249</v>
      </c>
      <c r="J123" s="37">
        <v>44862</v>
      </c>
      <c r="K123" s="37">
        <v>33365</v>
      </c>
      <c r="L123" s="37">
        <v>184</v>
      </c>
      <c r="M123" s="37" t="s">
        <v>16</v>
      </c>
      <c r="N123" s="45">
        <v>0.11227765146449099</v>
      </c>
      <c r="O123" s="39" t="s">
        <v>19</v>
      </c>
    </row>
    <row r="124" spans="1:15" x14ac:dyDescent="0.3">
      <c r="A124" s="32" t="s">
        <v>313</v>
      </c>
      <c r="B124" s="33" t="s">
        <v>22</v>
      </c>
      <c r="C124" s="34">
        <v>45563</v>
      </c>
      <c r="D124" s="33" t="s">
        <v>23</v>
      </c>
      <c r="E124" s="33" t="s">
        <v>26</v>
      </c>
      <c r="F124" s="33"/>
      <c r="G124" s="33">
        <v>4471</v>
      </c>
      <c r="H124" s="33">
        <v>317</v>
      </c>
      <c r="I124" s="33">
        <v>249</v>
      </c>
      <c r="J124" s="33">
        <v>44862</v>
      </c>
      <c r="K124" s="33">
        <v>33365</v>
      </c>
      <c r="L124" s="33">
        <v>184</v>
      </c>
      <c r="M124" s="33" t="s">
        <v>16</v>
      </c>
      <c r="N124" s="44">
        <v>0.11227765146449099</v>
      </c>
      <c r="O124" s="35" t="s">
        <v>355</v>
      </c>
    </row>
    <row r="125" spans="1:15" x14ac:dyDescent="0.3">
      <c r="A125" s="36" t="s">
        <v>257</v>
      </c>
      <c r="B125" s="37" t="s">
        <v>22</v>
      </c>
      <c r="C125" s="38">
        <v>45636</v>
      </c>
      <c r="D125" s="37" t="s">
        <v>14</v>
      </c>
      <c r="E125" s="37" t="s">
        <v>43</v>
      </c>
      <c r="F125" s="37"/>
      <c r="G125" s="37">
        <v>4673</v>
      </c>
      <c r="H125" s="37">
        <v>270</v>
      </c>
      <c r="I125" s="37">
        <v>93</v>
      </c>
      <c r="J125" s="37">
        <v>45260</v>
      </c>
      <c r="K125" s="37">
        <v>57513</v>
      </c>
      <c r="L125" s="37">
        <v>103</v>
      </c>
      <c r="M125" s="37" t="s">
        <v>16</v>
      </c>
      <c r="N125" s="45">
        <v>0.11126822801590799</v>
      </c>
      <c r="O125" s="39" t="s">
        <v>36</v>
      </c>
    </row>
    <row r="126" spans="1:15" x14ac:dyDescent="0.3">
      <c r="A126" s="32" t="s">
        <v>93</v>
      </c>
      <c r="B126" s="33" t="s">
        <v>28</v>
      </c>
      <c r="C126" s="34">
        <v>45398</v>
      </c>
      <c r="D126" s="33" t="s">
        <v>14</v>
      </c>
      <c r="E126" s="33" t="s">
        <v>15</v>
      </c>
      <c r="F126" s="33"/>
      <c r="G126" s="33">
        <v>4674</v>
      </c>
      <c r="H126" s="33">
        <v>326</v>
      </c>
      <c r="I126" s="33">
        <v>62</v>
      </c>
      <c r="J126" s="33">
        <v>45503</v>
      </c>
      <c r="K126" s="33">
        <v>46814</v>
      </c>
      <c r="L126" s="33">
        <v>116</v>
      </c>
      <c r="M126" s="33" t="s">
        <v>20</v>
      </c>
      <c r="N126" s="44">
        <v>0.111245412390392</v>
      </c>
      <c r="O126" s="35" t="s">
        <v>19</v>
      </c>
    </row>
    <row r="127" spans="1:15" x14ac:dyDescent="0.3">
      <c r="A127" s="36" t="s">
        <v>93</v>
      </c>
      <c r="B127" s="37" t="s">
        <v>28</v>
      </c>
      <c r="C127" s="38">
        <v>45398</v>
      </c>
      <c r="D127" s="37" t="s">
        <v>14</v>
      </c>
      <c r="E127" s="37" t="s">
        <v>15</v>
      </c>
      <c r="F127" s="37"/>
      <c r="G127" s="37">
        <v>4674</v>
      </c>
      <c r="H127" s="37">
        <v>326</v>
      </c>
      <c r="I127" s="37">
        <v>62</v>
      </c>
      <c r="J127" s="37">
        <v>45503</v>
      </c>
      <c r="K127" s="37">
        <v>46814</v>
      </c>
      <c r="L127" s="37">
        <v>116</v>
      </c>
      <c r="M127" s="37" t="s">
        <v>20</v>
      </c>
      <c r="N127" s="45">
        <v>0.111245412390392</v>
      </c>
      <c r="O127" s="39" t="s">
        <v>354</v>
      </c>
    </row>
    <row r="128" spans="1:15" x14ac:dyDescent="0.3">
      <c r="A128" s="32" t="s">
        <v>328</v>
      </c>
      <c r="B128" s="33" t="s">
        <v>13</v>
      </c>
      <c r="C128" s="34">
        <v>45724</v>
      </c>
      <c r="D128" s="33" t="s">
        <v>23</v>
      </c>
      <c r="E128" s="33" t="s">
        <v>35</v>
      </c>
      <c r="F128" s="33"/>
      <c r="G128" s="33">
        <v>2244</v>
      </c>
      <c r="H128" s="33">
        <v>392</v>
      </c>
      <c r="I128" s="33">
        <v>231</v>
      </c>
      <c r="J128" s="33">
        <v>25834</v>
      </c>
      <c r="K128" s="33">
        <v>50906</v>
      </c>
      <c r="L128" s="33">
        <v>165</v>
      </c>
      <c r="M128" s="33" t="s">
        <v>49</v>
      </c>
      <c r="N128" s="44">
        <v>0.110977781218549</v>
      </c>
      <c r="O128" s="35" t="s">
        <v>36</v>
      </c>
    </row>
    <row r="129" spans="1:15" x14ac:dyDescent="0.3">
      <c r="A129" s="36" t="s">
        <v>196</v>
      </c>
      <c r="B129" s="37" t="s">
        <v>28</v>
      </c>
      <c r="C129" s="38">
        <v>45513</v>
      </c>
      <c r="D129" s="37" t="s">
        <v>51</v>
      </c>
      <c r="E129" s="37" t="s">
        <v>43</v>
      </c>
      <c r="F129" s="37"/>
      <c r="G129" s="37">
        <v>3414</v>
      </c>
      <c r="H129" s="37">
        <v>154</v>
      </c>
      <c r="I129" s="37">
        <v>204</v>
      </c>
      <c r="J129" s="37">
        <v>34146</v>
      </c>
      <c r="K129" s="37">
        <v>44633</v>
      </c>
      <c r="L129" s="37">
        <v>256</v>
      </c>
      <c r="M129" s="37" t="s">
        <v>52</v>
      </c>
      <c r="N129" s="45">
        <v>0.11046681895390401</v>
      </c>
      <c r="O129" s="39" t="s">
        <v>19</v>
      </c>
    </row>
    <row r="130" spans="1:15" x14ac:dyDescent="0.3">
      <c r="A130" s="32" t="s">
        <v>196</v>
      </c>
      <c r="B130" s="33" t="s">
        <v>28</v>
      </c>
      <c r="C130" s="34">
        <v>45513</v>
      </c>
      <c r="D130" s="33" t="s">
        <v>51</v>
      </c>
      <c r="E130" s="33" t="s">
        <v>43</v>
      </c>
      <c r="F130" s="33"/>
      <c r="G130" s="33">
        <v>3414</v>
      </c>
      <c r="H130" s="33">
        <v>154</v>
      </c>
      <c r="I130" s="33">
        <v>204</v>
      </c>
      <c r="J130" s="33">
        <v>34146</v>
      </c>
      <c r="K130" s="33">
        <v>44633</v>
      </c>
      <c r="L130" s="33">
        <v>256</v>
      </c>
      <c r="M130" s="33" t="s">
        <v>52</v>
      </c>
      <c r="N130" s="44">
        <v>0.11046681895390401</v>
      </c>
      <c r="O130" s="35" t="s">
        <v>39</v>
      </c>
    </row>
    <row r="131" spans="1:15" x14ac:dyDescent="0.3">
      <c r="A131" s="36" t="s">
        <v>158</v>
      </c>
      <c r="B131" s="37" t="s">
        <v>22</v>
      </c>
      <c r="C131" s="38">
        <v>45602</v>
      </c>
      <c r="D131" s="37" t="s">
        <v>14</v>
      </c>
      <c r="E131" s="37" t="s">
        <v>43</v>
      </c>
      <c r="F131" s="37"/>
      <c r="G131" s="37">
        <v>2956</v>
      </c>
      <c r="H131" s="37">
        <v>381</v>
      </c>
      <c r="I131" s="37">
        <v>345</v>
      </c>
      <c r="J131" s="37">
        <v>33347</v>
      </c>
      <c r="K131" s="37">
        <v>22558</v>
      </c>
      <c r="L131" s="37">
        <v>173</v>
      </c>
      <c r="M131" s="37" t="s">
        <v>16</v>
      </c>
      <c r="N131" s="45">
        <v>0.110414729960716</v>
      </c>
      <c r="O131" s="39" t="s">
        <v>36</v>
      </c>
    </row>
    <row r="132" spans="1:15" x14ac:dyDescent="0.3">
      <c r="A132" s="32" t="s">
        <v>57</v>
      </c>
      <c r="B132" s="33" t="s">
        <v>22</v>
      </c>
      <c r="C132" s="34">
        <v>45583</v>
      </c>
      <c r="D132" s="33" t="s">
        <v>14</v>
      </c>
      <c r="E132" s="33" t="s">
        <v>24</v>
      </c>
      <c r="F132" s="33"/>
      <c r="G132" s="33">
        <v>2607</v>
      </c>
      <c r="H132" s="33">
        <v>379</v>
      </c>
      <c r="I132" s="33">
        <v>180</v>
      </c>
      <c r="J132" s="33">
        <v>28712</v>
      </c>
      <c r="K132" s="33">
        <v>61620</v>
      </c>
      <c r="L132" s="33">
        <v>174</v>
      </c>
      <c r="M132" s="33" t="s">
        <v>20</v>
      </c>
      <c r="N132" s="44">
        <v>0.11026748397882399</v>
      </c>
      <c r="O132" s="35" t="s">
        <v>39</v>
      </c>
    </row>
    <row r="133" spans="1:15" x14ac:dyDescent="0.3">
      <c r="A133" s="36" t="s">
        <v>265</v>
      </c>
      <c r="B133" s="37" t="s">
        <v>28</v>
      </c>
      <c r="C133" s="38">
        <v>45723</v>
      </c>
      <c r="D133" s="37" t="s">
        <v>14</v>
      </c>
      <c r="E133" s="37" t="s">
        <v>35</v>
      </c>
      <c r="F133" s="37"/>
      <c r="G133" s="37">
        <v>4310</v>
      </c>
      <c r="H133" s="37">
        <v>284</v>
      </c>
      <c r="I133" s="37">
        <v>306</v>
      </c>
      <c r="J133" s="37">
        <v>44606</v>
      </c>
      <c r="K133" s="37">
        <v>42604</v>
      </c>
      <c r="L133" s="37">
        <v>290</v>
      </c>
      <c r="M133" s="37" t="s">
        <v>20</v>
      </c>
      <c r="N133" s="45">
        <v>0.109850692731919</v>
      </c>
      <c r="O133" s="39" t="s">
        <v>19</v>
      </c>
    </row>
    <row r="134" spans="1:15" x14ac:dyDescent="0.3">
      <c r="A134" s="32" t="s">
        <v>265</v>
      </c>
      <c r="B134" s="33" t="s">
        <v>28</v>
      </c>
      <c r="C134" s="34">
        <v>45723</v>
      </c>
      <c r="D134" s="33" t="s">
        <v>14</v>
      </c>
      <c r="E134" s="33" t="s">
        <v>35</v>
      </c>
      <c r="F134" s="33"/>
      <c r="G134" s="33">
        <v>4310</v>
      </c>
      <c r="H134" s="33">
        <v>284</v>
      </c>
      <c r="I134" s="33">
        <v>306</v>
      </c>
      <c r="J134" s="33">
        <v>44606</v>
      </c>
      <c r="K134" s="33">
        <v>42604</v>
      </c>
      <c r="L134" s="33">
        <v>290</v>
      </c>
      <c r="M134" s="33" t="s">
        <v>20</v>
      </c>
      <c r="N134" s="44">
        <v>0.109850692731919</v>
      </c>
      <c r="O134" s="35" t="s">
        <v>354</v>
      </c>
    </row>
    <row r="135" spans="1:15" x14ac:dyDescent="0.3">
      <c r="A135" s="36" t="s">
        <v>141</v>
      </c>
      <c r="B135" s="37" t="s">
        <v>28</v>
      </c>
      <c r="C135" s="38">
        <v>45542</v>
      </c>
      <c r="D135" s="37" t="s">
        <v>51</v>
      </c>
      <c r="E135" s="37" t="s">
        <v>29</v>
      </c>
      <c r="F135" s="37"/>
      <c r="G135" s="37">
        <v>3882</v>
      </c>
      <c r="H135" s="37">
        <v>342</v>
      </c>
      <c r="I135" s="37">
        <v>374</v>
      </c>
      <c r="J135" s="37">
        <v>41991</v>
      </c>
      <c r="K135" s="37">
        <v>48554</v>
      </c>
      <c r="L135" s="37">
        <v>118</v>
      </c>
      <c r="M135" s="37" t="s">
        <v>52</v>
      </c>
      <c r="N135" s="45">
        <v>0.109499654687909</v>
      </c>
      <c r="O135" s="39" t="s">
        <v>19</v>
      </c>
    </row>
    <row r="136" spans="1:15" x14ac:dyDescent="0.3">
      <c r="A136" s="32" t="s">
        <v>141</v>
      </c>
      <c r="B136" s="33" t="s">
        <v>28</v>
      </c>
      <c r="C136" s="34">
        <v>45542</v>
      </c>
      <c r="D136" s="33" t="s">
        <v>51</v>
      </c>
      <c r="E136" s="33" t="s">
        <v>29</v>
      </c>
      <c r="F136" s="33"/>
      <c r="G136" s="33">
        <v>3882</v>
      </c>
      <c r="H136" s="33">
        <v>342</v>
      </c>
      <c r="I136" s="33">
        <v>374</v>
      </c>
      <c r="J136" s="33">
        <v>41991</v>
      </c>
      <c r="K136" s="33">
        <v>48554</v>
      </c>
      <c r="L136" s="33">
        <v>118</v>
      </c>
      <c r="M136" s="33" t="s">
        <v>52</v>
      </c>
      <c r="N136" s="44">
        <v>0.109499654687909</v>
      </c>
      <c r="O136" s="35" t="s">
        <v>39</v>
      </c>
    </row>
    <row r="137" spans="1:15" x14ac:dyDescent="0.3">
      <c r="A137" s="36" t="s">
        <v>82</v>
      </c>
      <c r="B137" s="37" t="s">
        <v>22</v>
      </c>
      <c r="C137" s="38">
        <v>45533</v>
      </c>
      <c r="D137" s="37" t="s">
        <v>23</v>
      </c>
      <c r="E137" s="37" t="s">
        <v>32</v>
      </c>
      <c r="F137" s="37"/>
      <c r="G137" s="37">
        <v>4276</v>
      </c>
      <c r="H137" s="37">
        <v>227</v>
      </c>
      <c r="I137" s="37">
        <v>223</v>
      </c>
      <c r="J137" s="37">
        <v>43443</v>
      </c>
      <c r="K137" s="37">
        <v>41005</v>
      </c>
      <c r="L137" s="37">
        <v>191</v>
      </c>
      <c r="M137" s="37" t="s">
        <v>16</v>
      </c>
      <c r="N137" s="45">
        <v>0.108786225628985</v>
      </c>
      <c r="O137" s="39" t="s">
        <v>19</v>
      </c>
    </row>
    <row r="138" spans="1:15" x14ac:dyDescent="0.3">
      <c r="A138" s="32" t="s">
        <v>82</v>
      </c>
      <c r="B138" s="33" t="s">
        <v>22</v>
      </c>
      <c r="C138" s="34">
        <v>45533</v>
      </c>
      <c r="D138" s="33" t="s">
        <v>23</v>
      </c>
      <c r="E138" s="33" t="s">
        <v>32</v>
      </c>
      <c r="F138" s="33"/>
      <c r="G138" s="33">
        <v>4276</v>
      </c>
      <c r="H138" s="33">
        <v>227</v>
      </c>
      <c r="I138" s="33">
        <v>223</v>
      </c>
      <c r="J138" s="33">
        <v>43443</v>
      </c>
      <c r="K138" s="33">
        <v>41005</v>
      </c>
      <c r="L138" s="33">
        <v>191</v>
      </c>
      <c r="M138" s="33" t="s">
        <v>16</v>
      </c>
      <c r="N138" s="44">
        <v>0.108786225628985</v>
      </c>
      <c r="O138" s="35" t="s">
        <v>355</v>
      </c>
    </row>
    <row r="139" spans="1:15" x14ac:dyDescent="0.3">
      <c r="A139" s="36" t="s">
        <v>74</v>
      </c>
      <c r="B139" s="37" t="s">
        <v>13</v>
      </c>
      <c r="C139" s="38">
        <v>45401</v>
      </c>
      <c r="D139" s="37" t="s">
        <v>14</v>
      </c>
      <c r="E139" s="37" t="s">
        <v>24</v>
      </c>
      <c r="F139" s="37"/>
      <c r="G139" s="37">
        <v>4001</v>
      </c>
      <c r="H139" s="37">
        <v>353</v>
      </c>
      <c r="I139" s="37">
        <v>129</v>
      </c>
      <c r="J139" s="37">
        <v>41265</v>
      </c>
      <c r="K139" s="37">
        <v>37279</v>
      </c>
      <c r="L139" s="37">
        <v>275</v>
      </c>
      <c r="M139" s="37" t="s">
        <v>16</v>
      </c>
      <c r="N139" s="45">
        <v>0.10863928268508399</v>
      </c>
      <c r="O139" s="39" t="s">
        <v>39</v>
      </c>
    </row>
    <row r="140" spans="1:15" x14ac:dyDescent="0.3">
      <c r="A140" s="32" t="s">
        <v>74</v>
      </c>
      <c r="B140" s="33" t="s">
        <v>13</v>
      </c>
      <c r="C140" s="34">
        <v>45401</v>
      </c>
      <c r="D140" s="33" t="s">
        <v>14</v>
      </c>
      <c r="E140" s="33" t="s">
        <v>24</v>
      </c>
      <c r="F140" s="33"/>
      <c r="G140" s="33">
        <v>4001</v>
      </c>
      <c r="H140" s="33">
        <v>353</v>
      </c>
      <c r="I140" s="33">
        <v>129</v>
      </c>
      <c r="J140" s="33">
        <v>41265</v>
      </c>
      <c r="K140" s="33">
        <v>37279</v>
      </c>
      <c r="L140" s="33">
        <v>275</v>
      </c>
      <c r="M140" s="33" t="s">
        <v>16</v>
      </c>
      <c r="N140" s="44">
        <v>0.10863928268508399</v>
      </c>
      <c r="O140" s="35" t="s">
        <v>36</v>
      </c>
    </row>
    <row r="141" spans="1:15" x14ac:dyDescent="0.3">
      <c r="A141" s="36" t="s">
        <v>235</v>
      </c>
      <c r="B141" s="37" t="s">
        <v>22</v>
      </c>
      <c r="C141" s="38">
        <v>45302</v>
      </c>
      <c r="D141" s="37" t="s">
        <v>23</v>
      </c>
      <c r="E141" s="37" t="s">
        <v>26</v>
      </c>
      <c r="F141" s="37"/>
      <c r="G141" s="37">
        <v>2340</v>
      </c>
      <c r="H141" s="37">
        <v>141</v>
      </c>
      <c r="I141" s="37">
        <v>206</v>
      </c>
      <c r="J141" s="37">
        <v>24916</v>
      </c>
      <c r="K141" s="37">
        <v>30582</v>
      </c>
      <c r="L141" s="37">
        <v>157</v>
      </c>
      <c r="M141" s="37" t="s">
        <v>16</v>
      </c>
      <c r="N141" s="45">
        <v>0.107842350296998</v>
      </c>
      <c r="O141" s="39" t="s">
        <v>39</v>
      </c>
    </row>
    <row r="142" spans="1:15" x14ac:dyDescent="0.3">
      <c r="A142" s="32" t="s">
        <v>235</v>
      </c>
      <c r="B142" s="33" t="s">
        <v>22</v>
      </c>
      <c r="C142" s="34">
        <v>45302</v>
      </c>
      <c r="D142" s="33" t="s">
        <v>23</v>
      </c>
      <c r="E142" s="33" t="s">
        <v>26</v>
      </c>
      <c r="F142" s="33"/>
      <c r="G142" s="33">
        <v>2340</v>
      </c>
      <c r="H142" s="33">
        <v>141</v>
      </c>
      <c r="I142" s="33">
        <v>206</v>
      </c>
      <c r="J142" s="33">
        <v>24916</v>
      </c>
      <c r="K142" s="33">
        <v>30582</v>
      </c>
      <c r="L142" s="33">
        <v>157</v>
      </c>
      <c r="M142" s="33" t="s">
        <v>16</v>
      </c>
      <c r="N142" s="44">
        <v>0.107842350296998</v>
      </c>
      <c r="O142" s="35" t="s">
        <v>36</v>
      </c>
    </row>
    <row r="143" spans="1:15" x14ac:dyDescent="0.3">
      <c r="A143" s="36" t="s">
        <v>70</v>
      </c>
      <c r="B143" s="37" t="s">
        <v>22</v>
      </c>
      <c r="C143" s="38">
        <v>45804</v>
      </c>
      <c r="D143" s="37" t="s">
        <v>23</v>
      </c>
      <c r="E143" s="37" t="s">
        <v>18</v>
      </c>
      <c r="F143" s="37"/>
      <c r="G143" s="37">
        <v>4095</v>
      </c>
      <c r="H143" s="37">
        <v>385</v>
      </c>
      <c r="I143" s="37">
        <v>400</v>
      </c>
      <c r="J143" s="37">
        <v>45300</v>
      </c>
      <c r="K143" s="37">
        <v>31795</v>
      </c>
      <c r="L143" s="37">
        <v>80</v>
      </c>
      <c r="M143" s="37" t="s">
        <v>16</v>
      </c>
      <c r="N143" s="45">
        <v>0.107726269315673</v>
      </c>
      <c r="O143" s="39" t="s">
        <v>355</v>
      </c>
    </row>
    <row r="144" spans="1:15" x14ac:dyDescent="0.3">
      <c r="A144" s="32" t="s">
        <v>70</v>
      </c>
      <c r="B144" s="33" t="s">
        <v>22</v>
      </c>
      <c r="C144" s="34">
        <v>45804</v>
      </c>
      <c r="D144" s="33" t="s">
        <v>23</v>
      </c>
      <c r="E144" s="33" t="s">
        <v>18</v>
      </c>
      <c r="F144" s="33"/>
      <c r="G144" s="33">
        <v>4095</v>
      </c>
      <c r="H144" s="33">
        <v>385</v>
      </c>
      <c r="I144" s="33">
        <v>400</v>
      </c>
      <c r="J144" s="33">
        <v>45300</v>
      </c>
      <c r="K144" s="33">
        <v>31795</v>
      </c>
      <c r="L144" s="33">
        <v>80</v>
      </c>
      <c r="M144" s="33" t="s">
        <v>16</v>
      </c>
      <c r="N144" s="44">
        <v>0.107726269315673</v>
      </c>
      <c r="O144" s="35" t="s">
        <v>36</v>
      </c>
    </row>
    <row r="145" spans="1:15" x14ac:dyDescent="0.3">
      <c r="A145" s="36" t="s">
        <v>285</v>
      </c>
      <c r="B145" s="37" t="s">
        <v>28</v>
      </c>
      <c r="C145" s="38">
        <v>45591</v>
      </c>
      <c r="D145" s="37" t="s">
        <v>14</v>
      </c>
      <c r="E145" s="37" t="s">
        <v>24</v>
      </c>
      <c r="F145" s="37"/>
      <c r="G145" s="37">
        <v>4676</v>
      </c>
      <c r="H145" s="37">
        <v>211</v>
      </c>
      <c r="I145" s="37">
        <v>55</v>
      </c>
      <c r="J145" s="37">
        <v>45917</v>
      </c>
      <c r="K145" s="37">
        <v>73503</v>
      </c>
      <c r="L145" s="37">
        <v>248</v>
      </c>
      <c r="M145" s="37" t="s">
        <v>20</v>
      </c>
      <c r="N145" s="45">
        <v>0.107628982729708</v>
      </c>
      <c r="O145" s="39" t="s">
        <v>19</v>
      </c>
    </row>
    <row r="146" spans="1:15" x14ac:dyDescent="0.3">
      <c r="A146" s="32" t="s">
        <v>285</v>
      </c>
      <c r="B146" s="33" t="s">
        <v>28</v>
      </c>
      <c r="C146" s="34">
        <v>45591</v>
      </c>
      <c r="D146" s="33" t="s">
        <v>14</v>
      </c>
      <c r="E146" s="33" t="s">
        <v>24</v>
      </c>
      <c r="F146" s="33"/>
      <c r="G146" s="33">
        <v>4676</v>
      </c>
      <c r="H146" s="33">
        <v>211</v>
      </c>
      <c r="I146" s="33">
        <v>55</v>
      </c>
      <c r="J146" s="33">
        <v>45917</v>
      </c>
      <c r="K146" s="33">
        <v>73503</v>
      </c>
      <c r="L146" s="33">
        <v>248</v>
      </c>
      <c r="M146" s="33" t="s">
        <v>20</v>
      </c>
      <c r="N146" s="44">
        <v>0.107628982729708</v>
      </c>
      <c r="O146" s="35" t="s">
        <v>354</v>
      </c>
    </row>
    <row r="147" spans="1:15" x14ac:dyDescent="0.3">
      <c r="A147" s="36" t="s">
        <v>228</v>
      </c>
      <c r="B147" s="37" t="s">
        <v>28</v>
      </c>
      <c r="C147" s="38">
        <v>45305</v>
      </c>
      <c r="D147" s="37" t="s">
        <v>14</v>
      </c>
      <c r="E147" s="37" t="s">
        <v>24</v>
      </c>
      <c r="F147" s="37"/>
      <c r="G147" s="37">
        <v>3634</v>
      </c>
      <c r="H147" s="37">
        <v>280</v>
      </c>
      <c r="I147" s="37">
        <v>399</v>
      </c>
      <c r="J147" s="37">
        <v>40256</v>
      </c>
      <c r="K147" s="37">
        <v>52605</v>
      </c>
      <c r="L147" s="37">
        <v>213</v>
      </c>
      <c r="M147" s="37" t="s">
        <v>20</v>
      </c>
      <c r="N147" s="45">
        <v>0.107139308426073</v>
      </c>
      <c r="O147" s="39" t="s">
        <v>19</v>
      </c>
    </row>
    <row r="148" spans="1:15" x14ac:dyDescent="0.3">
      <c r="A148" s="32" t="s">
        <v>228</v>
      </c>
      <c r="B148" s="33" t="s">
        <v>28</v>
      </c>
      <c r="C148" s="34">
        <v>45305</v>
      </c>
      <c r="D148" s="33" t="s">
        <v>14</v>
      </c>
      <c r="E148" s="33" t="s">
        <v>24</v>
      </c>
      <c r="F148" s="33"/>
      <c r="G148" s="33">
        <v>3634</v>
      </c>
      <c r="H148" s="33">
        <v>280</v>
      </c>
      <c r="I148" s="33">
        <v>399</v>
      </c>
      <c r="J148" s="33">
        <v>40256</v>
      </c>
      <c r="K148" s="33">
        <v>52605</v>
      </c>
      <c r="L148" s="33">
        <v>213</v>
      </c>
      <c r="M148" s="33" t="s">
        <v>20</v>
      </c>
      <c r="N148" s="44">
        <v>0.107139308426073</v>
      </c>
      <c r="O148" s="35" t="s">
        <v>354</v>
      </c>
    </row>
    <row r="149" spans="1:15" x14ac:dyDescent="0.3">
      <c r="A149" s="36" t="s">
        <v>181</v>
      </c>
      <c r="B149" s="37" t="s">
        <v>22</v>
      </c>
      <c r="C149" s="38">
        <v>45696</v>
      </c>
      <c r="D149" s="37" t="s">
        <v>23</v>
      </c>
      <c r="E149" s="37" t="s">
        <v>45</v>
      </c>
      <c r="F149" s="37"/>
      <c r="G149" s="37">
        <v>4752</v>
      </c>
      <c r="H149" s="37">
        <v>334</v>
      </c>
      <c r="I149" s="37">
        <v>56</v>
      </c>
      <c r="J149" s="37">
        <v>48017</v>
      </c>
      <c r="K149" s="37">
        <v>55534</v>
      </c>
      <c r="L149" s="37">
        <v>270</v>
      </c>
      <c r="M149" s="37" t="s">
        <v>16</v>
      </c>
      <c r="N149" s="45">
        <v>0.107087073328196</v>
      </c>
      <c r="O149" s="39" t="s">
        <v>19</v>
      </c>
    </row>
    <row r="150" spans="1:15" x14ac:dyDescent="0.3">
      <c r="A150" s="32" t="s">
        <v>181</v>
      </c>
      <c r="B150" s="33" t="s">
        <v>22</v>
      </c>
      <c r="C150" s="34">
        <v>45696</v>
      </c>
      <c r="D150" s="33" t="s">
        <v>23</v>
      </c>
      <c r="E150" s="33" t="s">
        <v>45</v>
      </c>
      <c r="F150" s="33"/>
      <c r="G150" s="33">
        <v>4752</v>
      </c>
      <c r="H150" s="33">
        <v>334</v>
      </c>
      <c r="I150" s="33">
        <v>56</v>
      </c>
      <c r="J150" s="33">
        <v>48017</v>
      </c>
      <c r="K150" s="33">
        <v>55534</v>
      </c>
      <c r="L150" s="33">
        <v>270</v>
      </c>
      <c r="M150" s="33" t="s">
        <v>16</v>
      </c>
      <c r="N150" s="44">
        <v>0.107087073328196</v>
      </c>
      <c r="O150" s="35" t="s">
        <v>355</v>
      </c>
    </row>
    <row r="151" spans="1:15" x14ac:dyDescent="0.3">
      <c r="A151" s="36" t="s">
        <v>103</v>
      </c>
      <c r="B151" s="37" t="s">
        <v>22</v>
      </c>
      <c r="C151" s="38">
        <v>45662</v>
      </c>
      <c r="D151" s="37" t="s">
        <v>14</v>
      </c>
      <c r="E151" s="37" t="s">
        <v>26</v>
      </c>
      <c r="F151" s="37"/>
      <c r="G151" s="37">
        <v>4811</v>
      </c>
      <c r="H151" s="37">
        <v>473</v>
      </c>
      <c r="I151" s="37">
        <v>254</v>
      </c>
      <c r="J151" s="37">
        <v>51964</v>
      </c>
      <c r="K151" s="37">
        <v>68795</v>
      </c>
      <c r="L151" s="37">
        <v>107</v>
      </c>
      <c r="M151" s="37" t="s">
        <v>16</v>
      </c>
      <c r="N151" s="45">
        <v>0.106573781848972</v>
      </c>
      <c r="O151" s="39" t="s">
        <v>36</v>
      </c>
    </row>
    <row r="152" spans="1:15" x14ac:dyDescent="0.3">
      <c r="A152" s="32" t="s">
        <v>198</v>
      </c>
      <c r="B152" s="33" t="s">
        <v>13</v>
      </c>
      <c r="C152" s="34">
        <v>45420</v>
      </c>
      <c r="D152" s="33" t="s">
        <v>23</v>
      </c>
      <c r="E152" s="33" t="s">
        <v>29</v>
      </c>
      <c r="F152" s="33"/>
      <c r="G152" s="33">
        <v>2414</v>
      </c>
      <c r="H152" s="33">
        <v>220</v>
      </c>
      <c r="I152" s="33">
        <v>280</v>
      </c>
      <c r="J152" s="33">
        <v>27355</v>
      </c>
      <c r="K152" s="33">
        <v>50562</v>
      </c>
      <c r="L152" s="33">
        <v>258</v>
      </c>
      <c r="M152" s="33" t="s">
        <v>49</v>
      </c>
      <c r="N152" s="44">
        <v>0.106525315298848</v>
      </c>
      <c r="O152" s="35" t="s">
        <v>36</v>
      </c>
    </row>
    <row r="153" spans="1:15" x14ac:dyDescent="0.3">
      <c r="A153" s="36" t="s">
        <v>90</v>
      </c>
      <c r="B153" s="37" t="s">
        <v>13</v>
      </c>
      <c r="C153" s="38">
        <v>45299</v>
      </c>
      <c r="D153" s="37" t="s">
        <v>14</v>
      </c>
      <c r="E153" s="37" t="s">
        <v>35</v>
      </c>
      <c r="F153" s="37"/>
      <c r="G153" s="37">
        <v>2683</v>
      </c>
      <c r="H153" s="37">
        <v>405</v>
      </c>
      <c r="I153" s="37">
        <v>223</v>
      </c>
      <c r="J153" s="37">
        <v>31233</v>
      </c>
      <c r="K153" s="37">
        <v>58106</v>
      </c>
      <c r="L153" s="37">
        <v>291</v>
      </c>
      <c r="M153" s="37" t="s">
        <v>20</v>
      </c>
      <c r="N153" s="45">
        <v>0.106009669260077</v>
      </c>
      <c r="O153" s="39" t="s">
        <v>19</v>
      </c>
    </row>
    <row r="154" spans="1:15" x14ac:dyDescent="0.3">
      <c r="A154" s="32" t="s">
        <v>130</v>
      </c>
      <c r="B154" s="33" t="s">
        <v>13</v>
      </c>
      <c r="C154" s="34">
        <v>45317</v>
      </c>
      <c r="D154" s="33" t="s">
        <v>14</v>
      </c>
      <c r="E154" s="33" t="s">
        <v>360</v>
      </c>
      <c r="F154" s="33" t="s">
        <v>361</v>
      </c>
      <c r="G154" s="33">
        <v>3878</v>
      </c>
      <c r="H154" s="33">
        <v>431</v>
      </c>
      <c r="I154" s="33">
        <v>97</v>
      </c>
      <c r="J154" s="33">
        <v>41763</v>
      </c>
      <c r="K154" s="33">
        <v>29729</v>
      </c>
      <c r="L154" s="33">
        <v>191</v>
      </c>
      <c r="M154" s="33" t="s">
        <v>20</v>
      </c>
      <c r="N154" s="44">
        <v>0.10550008380624</v>
      </c>
      <c r="O154" s="35" t="s">
        <v>19</v>
      </c>
    </row>
    <row r="155" spans="1:15" x14ac:dyDescent="0.3">
      <c r="A155" s="36" t="s">
        <v>273</v>
      </c>
      <c r="B155" s="37" t="s">
        <v>28</v>
      </c>
      <c r="C155" s="38">
        <v>45533</v>
      </c>
      <c r="D155" s="37" t="s">
        <v>14</v>
      </c>
      <c r="E155" s="37" t="s">
        <v>26</v>
      </c>
      <c r="F155" s="37"/>
      <c r="G155" s="37">
        <v>4774</v>
      </c>
      <c r="H155" s="37">
        <v>389</v>
      </c>
      <c r="I155" s="37">
        <v>358</v>
      </c>
      <c r="J155" s="37">
        <v>52346</v>
      </c>
      <c r="K155" s="37">
        <v>30518</v>
      </c>
      <c r="L155" s="37">
        <v>277</v>
      </c>
      <c r="M155" s="37" t="s">
        <v>20</v>
      </c>
      <c r="N155" s="45">
        <v>0.105471287204371</v>
      </c>
      <c r="O155" s="39" t="s">
        <v>19</v>
      </c>
    </row>
    <row r="156" spans="1:15" x14ac:dyDescent="0.3">
      <c r="A156" s="32" t="s">
        <v>273</v>
      </c>
      <c r="B156" s="33" t="s">
        <v>28</v>
      </c>
      <c r="C156" s="34">
        <v>45533</v>
      </c>
      <c r="D156" s="33" t="s">
        <v>14</v>
      </c>
      <c r="E156" s="33" t="s">
        <v>26</v>
      </c>
      <c r="F156" s="33"/>
      <c r="G156" s="33">
        <v>4774</v>
      </c>
      <c r="H156" s="33">
        <v>389</v>
      </c>
      <c r="I156" s="33">
        <v>358</v>
      </c>
      <c r="J156" s="33">
        <v>52346</v>
      </c>
      <c r="K156" s="33">
        <v>30518</v>
      </c>
      <c r="L156" s="33">
        <v>277</v>
      </c>
      <c r="M156" s="33" t="s">
        <v>20</v>
      </c>
      <c r="N156" s="44">
        <v>0.105471287204371</v>
      </c>
      <c r="O156" s="35" t="s">
        <v>354</v>
      </c>
    </row>
    <row r="157" spans="1:15" x14ac:dyDescent="0.3">
      <c r="A157" s="36" t="s">
        <v>321</v>
      </c>
      <c r="B157" s="37" t="s">
        <v>22</v>
      </c>
      <c r="C157" s="38">
        <v>45513</v>
      </c>
      <c r="D157" s="37" t="s">
        <v>23</v>
      </c>
      <c r="E157" s="37" t="s">
        <v>43</v>
      </c>
      <c r="F157" s="37"/>
      <c r="G157" s="37">
        <v>4877</v>
      </c>
      <c r="H157" s="37">
        <v>442</v>
      </c>
      <c r="I157" s="37">
        <v>236</v>
      </c>
      <c r="J157" s="37">
        <v>52673</v>
      </c>
      <c r="K157" s="37">
        <v>48241</v>
      </c>
      <c r="L157" s="37">
        <v>114</v>
      </c>
      <c r="M157" s="37" t="s">
        <v>16</v>
      </c>
      <c r="N157" s="45">
        <v>0.10546200140489401</v>
      </c>
      <c r="O157" s="39" t="s">
        <v>19</v>
      </c>
    </row>
    <row r="158" spans="1:15" x14ac:dyDescent="0.3">
      <c r="A158" s="32" t="s">
        <v>321</v>
      </c>
      <c r="B158" s="33" t="s">
        <v>22</v>
      </c>
      <c r="C158" s="34">
        <v>45513</v>
      </c>
      <c r="D158" s="33" t="s">
        <v>23</v>
      </c>
      <c r="E158" s="33" t="s">
        <v>43</v>
      </c>
      <c r="F158" s="33"/>
      <c r="G158" s="33">
        <v>4877</v>
      </c>
      <c r="H158" s="33">
        <v>442</v>
      </c>
      <c r="I158" s="33">
        <v>236</v>
      </c>
      <c r="J158" s="33">
        <v>52673</v>
      </c>
      <c r="K158" s="33">
        <v>48241</v>
      </c>
      <c r="L158" s="33">
        <v>114</v>
      </c>
      <c r="M158" s="33" t="s">
        <v>16</v>
      </c>
      <c r="N158" s="44">
        <v>0.10546200140489401</v>
      </c>
      <c r="O158" s="35" t="s">
        <v>355</v>
      </c>
    </row>
    <row r="159" spans="1:15" x14ac:dyDescent="0.3">
      <c r="A159" s="36" t="s">
        <v>161</v>
      </c>
      <c r="B159" s="37" t="s">
        <v>13</v>
      </c>
      <c r="C159" s="38">
        <v>45344</v>
      </c>
      <c r="D159" s="37" t="s">
        <v>14</v>
      </c>
      <c r="E159" s="37" t="s">
        <v>24</v>
      </c>
      <c r="F159" s="37"/>
      <c r="G159" s="37">
        <v>1902</v>
      </c>
      <c r="H159" s="37">
        <v>394</v>
      </c>
      <c r="I159" s="37">
        <v>279</v>
      </c>
      <c r="J159" s="37">
        <v>24615</v>
      </c>
      <c r="K159" s="37">
        <v>51330</v>
      </c>
      <c r="L159" s="37">
        <v>176</v>
      </c>
      <c r="M159" s="37" t="s">
        <v>16</v>
      </c>
      <c r="N159" s="45">
        <v>0.104611009547024</v>
      </c>
      <c r="O159" s="39" t="s">
        <v>39</v>
      </c>
    </row>
    <row r="160" spans="1:15" x14ac:dyDescent="0.3">
      <c r="A160" s="32" t="s">
        <v>161</v>
      </c>
      <c r="B160" s="33" t="s">
        <v>13</v>
      </c>
      <c r="C160" s="34">
        <v>45344</v>
      </c>
      <c r="D160" s="33" t="s">
        <v>14</v>
      </c>
      <c r="E160" s="33" t="s">
        <v>24</v>
      </c>
      <c r="F160" s="33"/>
      <c r="G160" s="33">
        <v>1902</v>
      </c>
      <c r="H160" s="33">
        <v>394</v>
      </c>
      <c r="I160" s="33">
        <v>279</v>
      </c>
      <c r="J160" s="33">
        <v>24615</v>
      </c>
      <c r="K160" s="33">
        <v>51330</v>
      </c>
      <c r="L160" s="33">
        <v>176</v>
      </c>
      <c r="M160" s="33" t="s">
        <v>16</v>
      </c>
      <c r="N160" s="44">
        <v>0.104611009547024</v>
      </c>
      <c r="O160" s="35" t="s">
        <v>36</v>
      </c>
    </row>
    <row r="161" spans="1:15" x14ac:dyDescent="0.3">
      <c r="A161" s="36" t="s">
        <v>188</v>
      </c>
      <c r="B161" s="37" t="s">
        <v>13</v>
      </c>
      <c r="C161" s="38">
        <v>45407</v>
      </c>
      <c r="D161" s="37" t="s">
        <v>14</v>
      </c>
      <c r="E161" s="37" t="s">
        <v>29</v>
      </c>
      <c r="F161" s="37"/>
      <c r="G161" s="37">
        <v>3563</v>
      </c>
      <c r="H161" s="37">
        <v>483</v>
      </c>
      <c r="I161" s="37">
        <v>227</v>
      </c>
      <c r="J161" s="37">
        <v>41085</v>
      </c>
      <c r="K161" s="37">
        <v>26393</v>
      </c>
      <c r="L161" s="37">
        <v>236</v>
      </c>
      <c r="M161" s="37" t="s">
        <v>16</v>
      </c>
      <c r="N161" s="45">
        <v>0.10400389436533999</v>
      </c>
      <c r="O161" s="39" t="s">
        <v>39</v>
      </c>
    </row>
    <row r="162" spans="1:15" x14ac:dyDescent="0.3">
      <c r="A162" s="32" t="s">
        <v>188</v>
      </c>
      <c r="B162" s="33" t="s">
        <v>13</v>
      </c>
      <c r="C162" s="34">
        <v>45407</v>
      </c>
      <c r="D162" s="33" t="s">
        <v>14</v>
      </c>
      <c r="E162" s="33" t="s">
        <v>29</v>
      </c>
      <c r="F162" s="33"/>
      <c r="G162" s="33">
        <v>3563</v>
      </c>
      <c r="H162" s="33">
        <v>483</v>
      </c>
      <c r="I162" s="33">
        <v>227</v>
      </c>
      <c r="J162" s="33">
        <v>41085</v>
      </c>
      <c r="K162" s="33">
        <v>26393</v>
      </c>
      <c r="L162" s="33">
        <v>236</v>
      </c>
      <c r="M162" s="33" t="s">
        <v>16</v>
      </c>
      <c r="N162" s="44">
        <v>0.10400389436533999</v>
      </c>
      <c r="O162" s="35" t="s">
        <v>36</v>
      </c>
    </row>
    <row r="163" spans="1:15" x14ac:dyDescent="0.3">
      <c r="A163" s="36" t="s">
        <v>63</v>
      </c>
      <c r="B163" s="37" t="s">
        <v>22</v>
      </c>
      <c r="C163" s="38">
        <v>45773</v>
      </c>
      <c r="D163" s="37" t="s">
        <v>14</v>
      </c>
      <c r="E163" s="37" t="s">
        <v>15</v>
      </c>
      <c r="F163" s="37"/>
      <c r="G163" s="37">
        <v>2411</v>
      </c>
      <c r="H163" s="37">
        <v>194</v>
      </c>
      <c r="I163" s="37">
        <v>168</v>
      </c>
      <c r="J163" s="37">
        <v>26665</v>
      </c>
      <c r="K163" s="37">
        <v>71699</v>
      </c>
      <c r="L163" s="37">
        <v>197</v>
      </c>
      <c r="M163" s="37" t="s">
        <v>16</v>
      </c>
      <c r="N163" s="45">
        <v>0.103993999624977</v>
      </c>
      <c r="O163" s="39" t="s">
        <v>36</v>
      </c>
    </row>
    <row r="164" spans="1:15" x14ac:dyDescent="0.3">
      <c r="A164" s="32" t="s">
        <v>322</v>
      </c>
      <c r="B164" s="33" t="s">
        <v>13</v>
      </c>
      <c r="C164" s="34">
        <v>45678</v>
      </c>
      <c r="D164" s="33" t="s">
        <v>23</v>
      </c>
      <c r="E164" s="33" t="s">
        <v>24</v>
      </c>
      <c r="F164" s="33"/>
      <c r="G164" s="33">
        <v>4918</v>
      </c>
      <c r="H164" s="33">
        <v>440</v>
      </c>
      <c r="I164" s="33">
        <v>149</v>
      </c>
      <c r="J164" s="33">
        <v>53269</v>
      </c>
      <c r="K164" s="33">
        <v>64370</v>
      </c>
      <c r="L164" s="33">
        <v>269</v>
      </c>
      <c r="M164" s="33" t="s">
        <v>49</v>
      </c>
      <c r="N164" s="44">
        <v>0.103380953274888</v>
      </c>
      <c r="O164" s="35" t="s">
        <v>36</v>
      </c>
    </row>
    <row r="165" spans="1:15" x14ac:dyDescent="0.3">
      <c r="A165" s="36" t="s">
        <v>207</v>
      </c>
      <c r="B165" s="37" t="s">
        <v>28</v>
      </c>
      <c r="C165" s="38">
        <v>45749</v>
      </c>
      <c r="D165" s="37" t="s">
        <v>14</v>
      </c>
      <c r="E165" s="37" t="s">
        <v>26</v>
      </c>
      <c r="F165" s="37"/>
      <c r="G165" s="37">
        <v>4598</v>
      </c>
      <c r="H165" s="37">
        <v>455</v>
      </c>
      <c r="I165" s="37">
        <v>378</v>
      </c>
      <c r="J165" s="37">
        <v>52952</v>
      </c>
      <c r="K165" s="37">
        <v>58504</v>
      </c>
      <c r="L165" s="37">
        <v>269</v>
      </c>
      <c r="M165" s="37" t="s">
        <v>20</v>
      </c>
      <c r="N165" s="45">
        <v>0.102564586795588</v>
      </c>
      <c r="O165" s="39" t="s">
        <v>19</v>
      </c>
    </row>
    <row r="166" spans="1:15" x14ac:dyDescent="0.3">
      <c r="A166" s="32" t="s">
        <v>207</v>
      </c>
      <c r="B166" s="33" t="s">
        <v>28</v>
      </c>
      <c r="C166" s="34">
        <v>45749</v>
      </c>
      <c r="D166" s="33" t="s">
        <v>14</v>
      </c>
      <c r="E166" s="33" t="s">
        <v>26</v>
      </c>
      <c r="F166" s="33"/>
      <c r="G166" s="33">
        <v>4598</v>
      </c>
      <c r="H166" s="33">
        <v>455</v>
      </c>
      <c r="I166" s="33">
        <v>378</v>
      </c>
      <c r="J166" s="33">
        <v>52952</v>
      </c>
      <c r="K166" s="33">
        <v>58504</v>
      </c>
      <c r="L166" s="33">
        <v>269</v>
      </c>
      <c r="M166" s="33" t="s">
        <v>20</v>
      </c>
      <c r="N166" s="44">
        <v>0.102564586795588</v>
      </c>
      <c r="O166" s="35" t="s">
        <v>354</v>
      </c>
    </row>
    <row r="167" spans="1:15" x14ac:dyDescent="0.3">
      <c r="A167" s="36" t="s">
        <v>84</v>
      </c>
      <c r="B167" s="37" t="s">
        <v>28</v>
      </c>
      <c r="C167" s="38">
        <v>45425</v>
      </c>
      <c r="D167" s="37" t="s">
        <v>51</v>
      </c>
      <c r="E167" s="37" t="s">
        <v>18</v>
      </c>
      <c r="F167" s="37"/>
      <c r="G167" s="37">
        <v>4161</v>
      </c>
      <c r="H167" s="37">
        <v>481</v>
      </c>
      <c r="I167" s="37">
        <v>61</v>
      </c>
      <c r="J167" s="37">
        <v>45884</v>
      </c>
      <c r="K167" s="37">
        <v>48955</v>
      </c>
      <c r="L167" s="37">
        <v>215</v>
      </c>
      <c r="M167" s="37" t="s">
        <v>52</v>
      </c>
      <c r="N167" s="45">
        <v>0.102497602650161</v>
      </c>
      <c r="O167" s="39" t="s">
        <v>19</v>
      </c>
    </row>
    <row r="168" spans="1:15" x14ac:dyDescent="0.3">
      <c r="A168" s="32" t="s">
        <v>84</v>
      </c>
      <c r="B168" s="33" t="s">
        <v>28</v>
      </c>
      <c r="C168" s="34">
        <v>45425</v>
      </c>
      <c r="D168" s="33" t="s">
        <v>51</v>
      </c>
      <c r="E168" s="33" t="s">
        <v>18</v>
      </c>
      <c r="F168" s="33"/>
      <c r="G168" s="33">
        <v>4161</v>
      </c>
      <c r="H168" s="33">
        <v>481</v>
      </c>
      <c r="I168" s="33">
        <v>61</v>
      </c>
      <c r="J168" s="33">
        <v>45884</v>
      </c>
      <c r="K168" s="33">
        <v>48955</v>
      </c>
      <c r="L168" s="33">
        <v>215</v>
      </c>
      <c r="M168" s="33" t="s">
        <v>52</v>
      </c>
      <c r="N168" s="44">
        <v>0.102497602650161</v>
      </c>
      <c r="O168" s="35" t="s">
        <v>39</v>
      </c>
    </row>
    <row r="169" spans="1:15" x14ac:dyDescent="0.3">
      <c r="A169" s="36" t="s">
        <v>224</v>
      </c>
      <c r="B169" s="37" t="s">
        <v>28</v>
      </c>
      <c r="C169" s="38">
        <v>45346</v>
      </c>
      <c r="D169" s="37" t="s">
        <v>51</v>
      </c>
      <c r="E169" s="37" t="s">
        <v>15</v>
      </c>
      <c r="F169" s="37"/>
      <c r="G169" s="37">
        <v>4221</v>
      </c>
      <c r="H169" s="37">
        <v>307</v>
      </c>
      <c r="I169" s="37">
        <v>58</v>
      </c>
      <c r="J169" s="37">
        <v>45080</v>
      </c>
      <c r="K169" s="37">
        <v>37214</v>
      </c>
      <c r="L169" s="37">
        <v>240</v>
      </c>
      <c r="M169" s="37" t="s">
        <v>52</v>
      </c>
      <c r="N169" s="45">
        <v>0.101730257320319</v>
      </c>
      <c r="O169" s="39" t="s">
        <v>19</v>
      </c>
    </row>
    <row r="170" spans="1:15" x14ac:dyDescent="0.3">
      <c r="A170" s="32" t="s">
        <v>224</v>
      </c>
      <c r="B170" s="33" t="s">
        <v>28</v>
      </c>
      <c r="C170" s="34">
        <v>45346</v>
      </c>
      <c r="D170" s="33" t="s">
        <v>51</v>
      </c>
      <c r="E170" s="33" t="s">
        <v>15</v>
      </c>
      <c r="F170" s="33"/>
      <c r="G170" s="33">
        <v>4221</v>
      </c>
      <c r="H170" s="33">
        <v>307</v>
      </c>
      <c r="I170" s="33">
        <v>58</v>
      </c>
      <c r="J170" s="33">
        <v>45080</v>
      </c>
      <c r="K170" s="33">
        <v>37214</v>
      </c>
      <c r="L170" s="33">
        <v>240</v>
      </c>
      <c r="M170" s="33" t="s">
        <v>52</v>
      </c>
      <c r="N170" s="44">
        <v>0.101730257320319</v>
      </c>
      <c r="O170" s="35" t="s">
        <v>39</v>
      </c>
    </row>
    <row r="171" spans="1:15" x14ac:dyDescent="0.3">
      <c r="A171" s="36" t="s">
        <v>201</v>
      </c>
      <c r="B171" s="37" t="s">
        <v>13</v>
      </c>
      <c r="C171" s="38">
        <v>45385</v>
      </c>
      <c r="D171" s="37" t="s">
        <v>14</v>
      </c>
      <c r="E171" s="37" t="s">
        <v>35</v>
      </c>
      <c r="F171" s="37"/>
      <c r="G171" s="37">
        <v>2762</v>
      </c>
      <c r="H171" s="37">
        <v>339</v>
      </c>
      <c r="I171" s="37">
        <v>323</v>
      </c>
      <c r="J171" s="37">
        <v>33757</v>
      </c>
      <c r="K171" s="37">
        <v>68511</v>
      </c>
      <c r="L171" s="37">
        <v>121</v>
      </c>
      <c r="M171" s="37" t="s">
        <v>16</v>
      </c>
      <c r="N171" s="45">
        <v>0.101430814349616</v>
      </c>
      <c r="O171" s="39" t="s">
        <v>39</v>
      </c>
    </row>
    <row r="172" spans="1:15" x14ac:dyDescent="0.3">
      <c r="A172" s="32" t="s">
        <v>201</v>
      </c>
      <c r="B172" s="33" t="s">
        <v>13</v>
      </c>
      <c r="C172" s="34">
        <v>45385</v>
      </c>
      <c r="D172" s="33" t="s">
        <v>14</v>
      </c>
      <c r="E172" s="33" t="s">
        <v>35</v>
      </c>
      <c r="F172" s="33"/>
      <c r="G172" s="33">
        <v>2762</v>
      </c>
      <c r="H172" s="33">
        <v>339</v>
      </c>
      <c r="I172" s="33">
        <v>323</v>
      </c>
      <c r="J172" s="33">
        <v>33757</v>
      </c>
      <c r="K172" s="33">
        <v>68511</v>
      </c>
      <c r="L172" s="33">
        <v>121</v>
      </c>
      <c r="M172" s="33" t="s">
        <v>16</v>
      </c>
      <c r="N172" s="44">
        <v>0.101430814349616</v>
      </c>
      <c r="O172" s="35" t="s">
        <v>36</v>
      </c>
    </row>
    <row r="173" spans="1:15" x14ac:dyDescent="0.3">
      <c r="A173" s="36" t="s">
        <v>133</v>
      </c>
      <c r="B173" s="37" t="s">
        <v>13</v>
      </c>
      <c r="C173" s="38">
        <v>45494</v>
      </c>
      <c r="D173" s="37" t="s">
        <v>14</v>
      </c>
      <c r="E173" s="37" t="s">
        <v>15</v>
      </c>
      <c r="F173" s="37"/>
      <c r="G173" s="37">
        <v>3004</v>
      </c>
      <c r="H173" s="37">
        <v>415</v>
      </c>
      <c r="I173" s="37">
        <v>218</v>
      </c>
      <c r="J173" s="37">
        <v>36090</v>
      </c>
      <c r="K173" s="37">
        <v>37073</v>
      </c>
      <c r="L173" s="37">
        <v>181</v>
      </c>
      <c r="M173" s="37" t="s">
        <v>20</v>
      </c>
      <c r="N173" s="45">
        <v>0.100775838182322</v>
      </c>
      <c r="O173" s="39" t="s">
        <v>19</v>
      </c>
    </row>
    <row r="174" spans="1:15" x14ac:dyDescent="0.3">
      <c r="A174" s="32" t="s">
        <v>206</v>
      </c>
      <c r="B174" s="33" t="s">
        <v>13</v>
      </c>
      <c r="C174" s="34">
        <v>45447</v>
      </c>
      <c r="D174" s="33" t="s">
        <v>14</v>
      </c>
      <c r="E174" s="33" t="s">
        <v>32</v>
      </c>
      <c r="F174" s="33"/>
      <c r="G174" s="33">
        <v>3948</v>
      </c>
      <c r="H174" s="33">
        <v>151</v>
      </c>
      <c r="I174" s="33">
        <v>249</v>
      </c>
      <c r="J174" s="33">
        <v>43147</v>
      </c>
      <c r="K174" s="33">
        <v>63136</v>
      </c>
      <c r="L174" s="33">
        <v>230</v>
      </c>
      <c r="M174" s="33" t="s">
        <v>20</v>
      </c>
      <c r="N174" s="44">
        <v>0.100771780193293</v>
      </c>
      <c r="O174" s="35" t="s">
        <v>19</v>
      </c>
    </row>
    <row r="175" spans="1:15" x14ac:dyDescent="0.3">
      <c r="A175" s="36" t="s">
        <v>122</v>
      </c>
      <c r="B175" s="37" t="s">
        <v>13</v>
      </c>
      <c r="C175" s="38">
        <v>45630</v>
      </c>
      <c r="D175" s="37" t="s">
        <v>14</v>
      </c>
      <c r="E175" s="37" t="s">
        <v>26</v>
      </c>
      <c r="F175" s="37"/>
      <c r="G175" s="37">
        <v>2601</v>
      </c>
      <c r="H175" s="37">
        <v>336</v>
      </c>
      <c r="I175" s="37">
        <v>260</v>
      </c>
      <c r="J175" s="37">
        <v>32368</v>
      </c>
      <c r="K175" s="37">
        <v>49028</v>
      </c>
      <c r="L175" s="37">
        <v>120</v>
      </c>
      <c r="M175" s="37" t="s">
        <v>16</v>
      </c>
      <c r="N175" s="45">
        <v>9.8770390509144795E-2</v>
      </c>
      <c r="O175" s="39" t="s">
        <v>39</v>
      </c>
    </row>
    <row r="176" spans="1:15" x14ac:dyDescent="0.3">
      <c r="A176" s="32" t="s">
        <v>122</v>
      </c>
      <c r="B176" s="33" t="s">
        <v>13</v>
      </c>
      <c r="C176" s="34">
        <v>45630</v>
      </c>
      <c r="D176" s="33" t="s">
        <v>14</v>
      </c>
      <c r="E176" s="33" t="s">
        <v>26</v>
      </c>
      <c r="F176" s="33"/>
      <c r="G176" s="33">
        <v>2601</v>
      </c>
      <c r="H176" s="33">
        <v>336</v>
      </c>
      <c r="I176" s="33">
        <v>260</v>
      </c>
      <c r="J176" s="33">
        <v>32368</v>
      </c>
      <c r="K176" s="33">
        <v>49028</v>
      </c>
      <c r="L176" s="33">
        <v>120</v>
      </c>
      <c r="M176" s="33" t="s">
        <v>16</v>
      </c>
      <c r="N176" s="44">
        <v>9.8770390509144795E-2</v>
      </c>
      <c r="O176" s="35" t="s">
        <v>36</v>
      </c>
    </row>
    <row r="177" spans="1:15" x14ac:dyDescent="0.3">
      <c r="A177" s="36" t="s">
        <v>314</v>
      </c>
      <c r="B177" s="37" t="s">
        <v>13</v>
      </c>
      <c r="C177" s="38">
        <v>45298</v>
      </c>
      <c r="D177" s="37" t="s">
        <v>14</v>
      </c>
      <c r="E177" s="37" t="s">
        <v>35</v>
      </c>
      <c r="F177" s="37"/>
      <c r="G177" s="37">
        <v>4931</v>
      </c>
      <c r="H177" s="37">
        <v>469</v>
      </c>
      <c r="I177" s="37">
        <v>193</v>
      </c>
      <c r="J177" s="37">
        <v>56701</v>
      </c>
      <c r="K177" s="37">
        <v>69437</v>
      </c>
      <c r="L177" s="37">
        <v>291</v>
      </c>
      <c r="M177" s="37" t="s">
        <v>16</v>
      </c>
      <c r="N177" s="45">
        <v>9.8640235621946695E-2</v>
      </c>
      <c r="O177" s="39" t="s">
        <v>39</v>
      </c>
    </row>
    <row r="178" spans="1:15" x14ac:dyDescent="0.3">
      <c r="A178" s="32" t="s">
        <v>314</v>
      </c>
      <c r="B178" s="33" t="s">
        <v>13</v>
      </c>
      <c r="C178" s="34">
        <v>45298</v>
      </c>
      <c r="D178" s="33" t="s">
        <v>14</v>
      </c>
      <c r="E178" s="33" t="s">
        <v>35</v>
      </c>
      <c r="F178" s="33"/>
      <c r="G178" s="33">
        <v>4931</v>
      </c>
      <c r="H178" s="33">
        <v>469</v>
      </c>
      <c r="I178" s="33">
        <v>193</v>
      </c>
      <c r="J178" s="33">
        <v>56701</v>
      </c>
      <c r="K178" s="33">
        <v>69437</v>
      </c>
      <c r="L178" s="33">
        <v>291</v>
      </c>
      <c r="M178" s="33" t="s">
        <v>16</v>
      </c>
      <c r="N178" s="44">
        <v>9.8640235621946695E-2</v>
      </c>
      <c r="O178" s="35" t="s">
        <v>36</v>
      </c>
    </row>
    <row r="179" spans="1:15" x14ac:dyDescent="0.3">
      <c r="A179" s="36" t="s">
        <v>221</v>
      </c>
      <c r="B179" s="37" t="s">
        <v>13</v>
      </c>
      <c r="C179" s="38">
        <v>45814</v>
      </c>
      <c r="D179" s="37" t="s">
        <v>14</v>
      </c>
      <c r="E179" s="37" t="s">
        <v>26</v>
      </c>
      <c r="F179" s="37"/>
      <c r="G179" s="37">
        <v>3987</v>
      </c>
      <c r="H179" s="37">
        <v>171</v>
      </c>
      <c r="I179" s="37">
        <v>274</v>
      </c>
      <c r="J179" s="37">
        <v>45122</v>
      </c>
      <c r="K179" s="37">
        <v>65431</v>
      </c>
      <c r="L179" s="37">
        <v>168</v>
      </c>
      <c r="M179" s="37" t="s">
        <v>20</v>
      </c>
      <c r="N179" s="45">
        <v>9.8222596516111899E-2</v>
      </c>
      <c r="O179" s="39" t="s">
        <v>19</v>
      </c>
    </row>
    <row r="180" spans="1:15" x14ac:dyDescent="0.3">
      <c r="A180" s="32" t="s">
        <v>276</v>
      </c>
      <c r="B180" s="33" t="s">
        <v>22</v>
      </c>
      <c r="C180" s="34">
        <v>45636</v>
      </c>
      <c r="D180" s="33" t="s">
        <v>23</v>
      </c>
      <c r="E180" s="33" t="s">
        <v>26</v>
      </c>
      <c r="F180" s="33"/>
      <c r="G180" s="33">
        <v>2267</v>
      </c>
      <c r="H180" s="33">
        <v>230</v>
      </c>
      <c r="I180" s="33">
        <v>243</v>
      </c>
      <c r="J180" s="33">
        <v>27904</v>
      </c>
      <c r="K180" s="33">
        <v>69771</v>
      </c>
      <c r="L180" s="33">
        <v>255</v>
      </c>
      <c r="M180" s="33" t="s">
        <v>16</v>
      </c>
      <c r="N180" s="44">
        <v>9.8193807339449601E-2</v>
      </c>
      <c r="O180" s="35" t="s">
        <v>19</v>
      </c>
    </row>
    <row r="181" spans="1:15" x14ac:dyDescent="0.3">
      <c r="A181" s="36" t="s">
        <v>276</v>
      </c>
      <c r="B181" s="37" t="s">
        <v>22</v>
      </c>
      <c r="C181" s="38">
        <v>45636</v>
      </c>
      <c r="D181" s="37" t="s">
        <v>23</v>
      </c>
      <c r="E181" s="37" t="s">
        <v>26</v>
      </c>
      <c r="F181" s="37"/>
      <c r="G181" s="37">
        <v>2267</v>
      </c>
      <c r="H181" s="37">
        <v>230</v>
      </c>
      <c r="I181" s="37">
        <v>243</v>
      </c>
      <c r="J181" s="37">
        <v>27904</v>
      </c>
      <c r="K181" s="37">
        <v>69771</v>
      </c>
      <c r="L181" s="37">
        <v>255</v>
      </c>
      <c r="M181" s="37" t="s">
        <v>16</v>
      </c>
      <c r="N181" s="45">
        <v>9.8193807339449601E-2</v>
      </c>
      <c r="O181" s="39" t="s">
        <v>355</v>
      </c>
    </row>
    <row r="182" spans="1:15" x14ac:dyDescent="0.3">
      <c r="A182" s="32" t="s">
        <v>80</v>
      </c>
      <c r="B182" s="33" t="s">
        <v>28</v>
      </c>
      <c r="C182" s="34">
        <v>45365</v>
      </c>
      <c r="D182" s="33" t="s">
        <v>51</v>
      </c>
      <c r="E182" s="33" t="s">
        <v>43</v>
      </c>
      <c r="F182" s="33"/>
      <c r="G182" s="33">
        <v>3361</v>
      </c>
      <c r="H182" s="33">
        <v>188</v>
      </c>
      <c r="I182" s="33">
        <v>358</v>
      </c>
      <c r="J182" s="33">
        <v>39838</v>
      </c>
      <c r="K182" s="33">
        <v>24536</v>
      </c>
      <c r="L182" s="33">
        <v>120</v>
      </c>
      <c r="M182" s="33" t="s">
        <v>52</v>
      </c>
      <c r="N182" s="44">
        <v>9.8072192379135503E-2</v>
      </c>
      <c r="O182" s="35" t="s">
        <v>19</v>
      </c>
    </row>
    <row r="183" spans="1:15" x14ac:dyDescent="0.3">
      <c r="A183" s="36" t="s">
        <v>80</v>
      </c>
      <c r="B183" s="37" t="s">
        <v>28</v>
      </c>
      <c r="C183" s="38">
        <v>45365</v>
      </c>
      <c r="D183" s="37" t="s">
        <v>51</v>
      </c>
      <c r="E183" s="37" t="s">
        <v>43</v>
      </c>
      <c r="F183" s="37"/>
      <c r="G183" s="37">
        <v>3361</v>
      </c>
      <c r="H183" s="37">
        <v>188</v>
      </c>
      <c r="I183" s="37">
        <v>358</v>
      </c>
      <c r="J183" s="37">
        <v>39838</v>
      </c>
      <c r="K183" s="37">
        <v>24536</v>
      </c>
      <c r="L183" s="37">
        <v>120</v>
      </c>
      <c r="M183" s="37" t="s">
        <v>52</v>
      </c>
      <c r="N183" s="45">
        <v>9.8072192379135503E-2</v>
      </c>
      <c r="O183" s="39" t="s">
        <v>39</v>
      </c>
    </row>
    <row r="184" spans="1:15" x14ac:dyDescent="0.3">
      <c r="A184" s="32" t="s">
        <v>204</v>
      </c>
      <c r="B184" s="33" t="s">
        <v>13</v>
      </c>
      <c r="C184" s="34">
        <v>45536</v>
      </c>
      <c r="D184" s="33" t="s">
        <v>23</v>
      </c>
      <c r="E184" s="33" t="s">
        <v>26</v>
      </c>
      <c r="F184" s="33"/>
      <c r="G184" s="33">
        <v>2335</v>
      </c>
      <c r="H184" s="33">
        <v>150</v>
      </c>
      <c r="I184" s="33">
        <v>75</v>
      </c>
      <c r="J184" s="33">
        <v>26114</v>
      </c>
      <c r="K184" s="33">
        <v>57549</v>
      </c>
      <c r="L184" s="33">
        <v>135</v>
      </c>
      <c r="M184" s="33" t="s">
        <v>49</v>
      </c>
      <c r="N184" s="44">
        <v>9.8031707130274995E-2</v>
      </c>
      <c r="O184" s="35" t="s">
        <v>36</v>
      </c>
    </row>
    <row r="185" spans="1:15" x14ac:dyDescent="0.3">
      <c r="A185" s="36" t="s">
        <v>237</v>
      </c>
      <c r="B185" s="37" t="s">
        <v>22</v>
      </c>
      <c r="C185" s="38">
        <v>45656</v>
      </c>
      <c r="D185" s="37" t="s">
        <v>14</v>
      </c>
      <c r="E185" s="37" t="s">
        <v>32</v>
      </c>
      <c r="F185" s="37"/>
      <c r="G185" s="37">
        <v>4214</v>
      </c>
      <c r="H185" s="37">
        <v>286</v>
      </c>
      <c r="I185" s="37">
        <v>127</v>
      </c>
      <c r="J185" s="37">
        <v>47293</v>
      </c>
      <c r="K185" s="37">
        <v>27184</v>
      </c>
      <c r="L185" s="37">
        <v>232</v>
      </c>
      <c r="M185" s="37" t="s">
        <v>16</v>
      </c>
      <c r="N185" s="45">
        <v>9.7836889180217004E-2</v>
      </c>
      <c r="O185" s="39" t="s">
        <v>36</v>
      </c>
    </row>
    <row r="186" spans="1:15" x14ac:dyDescent="0.3">
      <c r="A186" s="32" t="s">
        <v>68</v>
      </c>
      <c r="B186" s="33" t="s">
        <v>22</v>
      </c>
      <c r="C186" s="34">
        <v>45785</v>
      </c>
      <c r="D186" s="33" t="s">
        <v>23</v>
      </c>
      <c r="E186" s="33" t="s">
        <v>45</v>
      </c>
      <c r="F186" s="33"/>
      <c r="G186" s="33">
        <v>3316</v>
      </c>
      <c r="H186" s="33">
        <v>332</v>
      </c>
      <c r="I186" s="33">
        <v>268</v>
      </c>
      <c r="J186" s="33">
        <v>40095</v>
      </c>
      <c r="K186" s="33">
        <v>36913</v>
      </c>
      <c r="L186" s="33">
        <v>265</v>
      </c>
      <c r="M186" s="33" t="s">
        <v>16</v>
      </c>
      <c r="N186" s="44">
        <v>9.7668038408779106E-2</v>
      </c>
      <c r="O186" s="35" t="s">
        <v>355</v>
      </c>
    </row>
    <row r="187" spans="1:15" x14ac:dyDescent="0.3">
      <c r="A187" s="36" t="s">
        <v>68</v>
      </c>
      <c r="B187" s="37" t="s">
        <v>22</v>
      </c>
      <c r="C187" s="38">
        <v>45785</v>
      </c>
      <c r="D187" s="37" t="s">
        <v>23</v>
      </c>
      <c r="E187" s="37" t="s">
        <v>45</v>
      </c>
      <c r="F187" s="37"/>
      <c r="G187" s="37">
        <v>3316</v>
      </c>
      <c r="H187" s="37">
        <v>332</v>
      </c>
      <c r="I187" s="37">
        <v>268</v>
      </c>
      <c r="J187" s="37">
        <v>40095</v>
      </c>
      <c r="K187" s="37">
        <v>36913</v>
      </c>
      <c r="L187" s="37">
        <v>265</v>
      </c>
      <c r="M187" s="37" t="s">
        <v>16</v>
      </c>
      <c r="N187" s="45">
        <v>9.7668038408779106E-2</v>
      </c>
      <c r="O187" s="39" t="s">
        <v>36</v>
      </c>
    </row>
    <row r="188" spans="1:15" x14ac:dyDescent="0.3">
      <c r="A188" s="32" t="s">
        <v>168</v>
      </c>
      <c r="B188" s="33" t="s">
        <v>22</v>
      </c>
      <c r="C188" s="34">
        <v>45569</v>
      </c>
      <c r="D188" s="33" t="s">
        <v>23</v>
      </c>
      <c r="E188" s="33" t="s">
        <v>18</v>
      </c>
      <c r="F188" s="33"/>
      <c r="G188" s="33">
        <v>2870</v>
      </c>
      <c r="H188" s="33">
        <v>380</v>
      </c>
      <c r="I188" s="33">
        <v>393</v>
      </c>
      <c r="J188" s="33">
        <v>37621</v>
      </c>
      <c r="K188" s="33">
        <v>71794</v>
      </c>
      <c r="L188" s="33">
        <v>127</v>
      </c>
      <c r="M188" s="33" t="s">
        <v>16</v>
      </c>
      <c r="N188" s="44">
        <v>9.6834214933149004E-2</v>
      </c>
      <c r="O188" s="35" t="s">
        <v>355</v>
      </c>
    </row>
    <row r="189" spans="1:15" x14ac:dyDescent="0.3">
      <c r="A189" s="36" t="s">
        <v>168</v>
      </c>
      <c r="B189" s="37" t="s">
        <v>22</v>
      </c>
      <c r="C189" s="38">
        <v>45569</v>
      </c>
      <c r="D189" s="37" t="s">
        <v>23</v>
      </c>
      <c r="E189" s="37" t="s">
        <v>18</v>
      </c>
      <c r="F189" s="37"/>
      <c r="G189" s="37">
        <v>2870</v>
      </c>
      <c r="H189" s="37">
        <v>380</v>
      </c>
      <c r="I189" s="37">
        <v>393</v>
      </c>
      <c r="J189" s="37">
        <v>37621</v>
      </c>
      <c r="K189" s="37">
        <v>71794</v>
      </c>
      <c r="L189" s="37">
        <v>127</v>
      </c>
      <c r="M189" s="37" t="s">
        <v>16</v>
      </c>
      <c r="N189" s="45">
        <v>9.6834214933149004E-2</v>
      </c>
      <c r="O189" s="39" t="s">
        <v>36</v>
      </c>
    </row>
    <row r="190" spans="1:15" x14ac:dyDescent="0.3">
      <c r="A190" s="32" t="s">
        <v>110</v>
      </c>
      <c r="B190" s="33" t="s">
        <v>22</v>
      </c>
      <c r="C190" s="34">
        <v>45805</v>
      </c>
      <c r="D190" s="33" t="s">
        <v>14</v>
      </c>
      <c r="E190" s="33" t="s">
        <v>43</v>
      </c>
      <c r="F190" s="33"/>
      <c r="G190" s="33">
        <v>2418</v>
      </c>
      <c r="H190" s="33">
        <v>161</v>
      </c>
      <c r="I190" s="33">
        <v>360</v>
      </c>
      <c r="J190" s="33">
        <v>30589</v>
      </c>
      <c r="K190" s="33">
        <v>41383</v>
      </c>
      <c r="L190" s="33">
        <v>88</v>
      </c>
      <c r="M190" s="33" t="s">
        <v>16</v>
      </c>
      <c r="N190" s="44">
        <v>9.6080290300434801E-2</v>
      </c>
      <c r="O190" s="35" t="s">
        <v>36</v>
      </c>
    </row>
    <row r="191" spans="1:15" x14ac:dyDescent="0.3">
      <c r="A191" s="36" t="s">
        <v>87</v>
      </c>
      <c r="B191" s="37" t="s">
        <v>13</v>
      </c>
      <c r="C191" s="38">
        <v>45722</v>
      </c>
      <c r="D191" s="37" t="s">
        <v>14</v>
      </c>
      <c r="E191" s="37" t="s">
        <v>32</v>
      </c>
      <c r="F191" s="37"/>
      <c r="G191" s="37">
        <v>4851</v>
      </c>
      <c r="H191" s="37">
        <v>460</v>
      </c>
      <c r="I191" s="37">
        <v>212</v>
      </c>
      <c r="J191" s="37">
        <v>58075</v>
      </c>
      <c r="K191" s="37">
        <v>59574</v>
      </c>
      <c r="L191" s="37">
        <v>239</v>
      </c>
      <c r="M191" s="37" t="s">
        <v>20</v>
      </c>
      <c r="N191" s="45">
        <v>9.5101162290141997E-2</v>
      </c>
      <c r="O191" s="39" t="s">
        <v>19</v>
      </c>
    </row>
    <row r="192" spans="1:15" x14ac:dyDescent="0.3">
      <c r="A192" s="32" t="s">
        <v>183</v>
      </c>
      <c r="B192" s="33" t="s">
        <v>22</v>
      </c>
      <c r="C192" s="34">
        <v>45442</v>
      </c>
      <c r="D192" s="33" t="s">
        <v>23</v>
      </c>
      <c r="E192" s="33" t="s">
        <v>45</v>
      </c>
      <c r="F192" s="33"/>
      <c r="G192" s="33">
        <v>2311</v>
      </c>
      <c r="H192" s="33">
        <v>207</v>
      </c>
      <c r="I192" s="33">
        <v>363</v>
      </c>
      <c r="J192" s="33">
        <v>30349</v>
      </c>
      <c r="K192" s="33">
        <v>32925</v>
      </c>
      <c r="L192" s="33">
        <v>88</v>
      </c>
      <c r="M192" s="33" t="s">
        <v>16</v>
      </c>
      <c r="N192" s="44">
        <v>9.4928992718046695E-2</v>
      </c>
      <c r="O192" s="35" t="s">
        <v>355</v>
      </c>
    </row>
    <row r="193" spans="1:15" x14ac:dyDescent="0.3">
      <c r="A193" s="36" t="s">
        <v>183</v>
      </c>
      <c r="B193" s="37" t="s">
        <v>22</v>
      </c>
      <c r="C193" s="38">
        <v>45442</v>
      </c>
      <c r="D193" s="37" t="s">
        <v>23</v>
      </c>
      <c r="E193" s="37" t="s">
        <v>45</v>
      </c>
      <c r="F193" s="37"/>
      <c r="G193" s="37">
        <v>2311</v>
      </c>
      <c r="H193" s="37">
        <v>207</v>
      </c>
      <c r="I193" s="37">
        <v>363</v>
      </c>
      <c r="J193" s="37">
        <v>30349</v>
      </c>
      <c r="K193" s="37">
        <v>32925</v>
      </c>
      <c r="L193" s="37">
        <v>88</v>
      </c>
      <c r="M193" s="37" t="s">
        <v>16</v>
      </c>
      <c r="N193" s="45">
        <v>9.4928992718046695E-2</v>
      </c>
      <c r="O193" s="39" t="s">
        <v>36</v>
      </c>
    </row>
    <row r="194" spans="1:15" x14ac:dyDescent="0.3">
      <c r="A194" s="32" t="s">
        <v>131</v>
      </c>
      <c r="B194" s="33" t="s">
        <v>22</v>
      </c>
      <c r="C194" s="34">
        <v>45366</v>
      </c>
      <c r="D194" s="33" t="s">
        <v>23</v>
      </c>
      <c r="E194" s="33" t="s">
        <v>32</v>
      </c>
      <c r="F194" s="33"/>
      <c r="G194" s="33">
        <v>4969</v>
      </c>
      <c r="H194" s="33">
        <v>433</v>
      </c>
      <c r="I194" s="33">
        <v>237</v>
      </c>
      <c r="J194" s="33">
        <v>59552</v>
      </c>
      <c r="K194" s="33">
        <v>23885</v>
      </c>
      <c r="L194" s="33">
        <v>157</v>
      </c>
      <c r="M194" s="33" t="s">
        <v>16</v>
      </c>
      <c r="N194" s="44">
        <v>9.4690354648038697E-2</v>
      </c>
      <c r="O194" s="35" t="s">
        <v>19</v>
      </c>
    </row>
    <row r="195" spans="1:15" x14ac:dyDescent="0.3">
      <c r="A195" s="36" t="s">
        <v>131</v>
      </c>
      <c r="B195" s="37" t="s">
        <v>22</v>
      </c>
      <c r="C195" s="38">
        <v>45366</v>
      </c>
      <c r="D195" s="37" t="s">
        <v>23</v>
      </c>
      <c r="E195" s="37" t="s">
        <v>32</v>
      </c>
      <c r="F195" s="37"/>
      <c r="G195" s="37">
        <v>4969</v>
      </c>
      <c r="H195" s="37">
        <v>433</v>
      </c>
      <c r="I195" s="37">
        <v>237</v>
      </c>
      <c r="J195" s="37">
        <v>59552</v>
      </c>
      <c r="K195" s="37">
        <v>23885</v>
      </c>
      <c r="L195" s="37">
        <v>157</v>
      </c>
      <c r="M195" s="37" t="s">
        <v>16</v>
      </c>
      <c r="N195" s="45">
        <v>9.4690354648038697E-2</v>
      </c>
      <c r="O195" s="39" t="s">
        <v>355</v>
      </c>
    </row>
    <row r="196" spans="1:15" x14ac:dyDescent="0.3">
      <c r="A196" s="32" t="s">
        <v>250</v>
      </c>
      <c r="B196" s="33" t="s">
        <v>13</v>
      </c>
      <c r="C196" s="34">
        <v>45808</v>
      </c>
      <c r="D196" s="33" t="s">
        <v>14</v>
      </c>
      <c r="E196" s="33" t="s">
        <v>360</v>
      </c>
      <c r="F196" s="33" t="s">
        <v>361</v>
      </c>
      <c r="G196" s="33">
        <v>2169</v>
      </c>
      <c r="H196" s="33">
        <v>240</v>
      </c>
      <c r="I196" s="33">
        <v>57</v>
      </c>
      <c r="J196" s="33">
        <v>26109</v>
      </c>
      <c r="K196" s="33">
        <v>46667</v>
      </c>
      <c r="L196" s="33">
        <v>133</v>
      </c>
      <c r="M196" s="33" t="s">
        <v>16</v>
      </c>
      <c r="N196" s="44">
        <v>9.4450189589796604E-2</v>
      </c>
      <c r="O196" s="35" t="s">
        <v>39</v>
      </c>
    </row>
    <row r="197" spans="1:15" x14ac:dyDescent="0.3">
      <c r="A197" s="36" t="s">
        <v>250</v>
      </c>
      <c r="B197" s="37" t="s">
        <v>13</v>
      </c>
      <c r="C197" s="38">
        <v>45808</v>
      </c>
      <c r="D197" s="37" t="s">
        <v>14</v>
      </c>
      <c r="E197" s="37" t="s">
        <v>360</v>
      </c>
      <c r="F197" s="37" t="s">
        <v>361</v>
      </c>
      <c r="G197" s="37">
        <v>2169</v>
      </c>
      <c r="H197" s="37">
        <v>240</v>
      </c>
      <c r="I197" s="37">
        <v>57</v>
      </c>
      <c r="J197" s="37">
        <v>26109</v>
      </c>
      <c r="K197" s="37">
        <v>46667</v>
      </c>
      <c r="L197" s="37">
        <v>133</v>
      </c>
      <c r="M197" s="37" t="s">
        <v>16</v>
      </c>
      <c r="N197" s="45">
        <v>9.4450189589796604E-2</v>
      </c>
      <c r="O197" s="39" t="s">
        <v>36</v>
      </c>
    </row>
    <row r="198" spans="1:15" x14ac:dyDescent="0.3">
      <c r="A198" s="32" t="s">
        <v>333</v>
      </c>
      <c r="B198" s="33" t="s">
        <v>13</v>
      </c>
      <c r="C198" s="34">
        <v>45329</v>
      </c>
      <c r="D198" s="33" t="s">
        <v>14</v>
      </c>
      <c r="E198" s="33" t="s">
        <v>29</v>
      </c>
      <c r="F198" s="33"/>
      <c r="G198" s="33">
        <v>1883</v>
      </c>
      <c r="H198" s="33">
        <v>432</v>
      </c>
      <c r="I198" s="33">
        <v>397</v>
      </c>
      <c r="J198" s="33">
        <v>28759</v>
      </c>
      <c r="K198" s="33">
        <v>18691</v>
      </c>
      <c r="L198" s="33">
        <v>270</v>
      </c>
      <c r="M198" s="33" t="s">
        <v>16</v>
      </c>
      <c r="N198" s="44">
        <v>9.43009144963316E-2</v>
      </c>
      <c r="O198" s="35" t="s">
        <v>39</v>
      </c>
    </row>
    <row r="199" spans="1:15" x14ac:dyDescent="0.3">
      <c r="A199" s="36" t="s">
        <v>333</v>
      </c>
      <c r="B199" s="37" t="s">
        <v>13</v>
      </c>
      <c r="C199" s="38">
        <v>45329</v>
      </c>
      <c r="D199" s="37" t="s">
        <v>14</v>
      </c>
      <c r="E199" s="37" t="s">
        <v>29</v>
      </c>
      <c r="F199" s="37"/>
      <c r="G199" s="37">
        <v>1883</v>
      </c>
      <c r="H199" s="37">
        <v>432</v>
      </c>
      <c r="I199" s="37">
        <v>397</v>
      </c>
      <c r="J199" s="37">
        <v>28759</v>
      </c>
      <c r="K199" s="37">
        <v>18691</v>
      </c>
      <c r="L199" s="37">
        <v>270</v>
      </c>
      <c r="M199" s="37" t="s">
        <v>16</v>
      </c>
      <c r="N199" s="45">
        <v>9.43009144963316E-2</v>
      </c>
      <c r="O199" s="39" t="s">
        <v>36</v>
      </c>
    </row>
    <row r="200" spans="1:15" x14ac:dyDescent="0.3">
      <c r="A200" s="32" t="s">
        <v>223</v>
      </c>
      <c r="B200" s="33" t="s">
        <v>13</v>
      </c>
      <c r="C200" s="34">
        <v>45673</v>
      </c>
      <c r="D200" s="33" t="s">
        <v>14</v>
      </c>
      <c r="E200" s="33" t="s">
        <v>29</v>
      </c>
      <c r="F200" s="33"/>
      <c r="G200" s="33">
        <v>2605</v>
      </c>
      <c r="H200" s="33">
        <v>282</v>
      </c>
      <c r="I200" s="33">
        <v>148</v>
      </c>
      <c r="J200" s="33">
        <v>32201</v>
      </c>
      <c r="K200" s="33">
        <v>49583</v>
      </c>
      <c r="L200" s="33">
        <v>241</v>
      </c>
      <c r="M200" s="33" t="s">
        <v>16</v>
      </c>
      <c r="N200" s="44">
        <v>9.4251731312692197E-2</v>
      </c>
      <c r="O200" s="35" t="s">
        <v>39</v>
      </c>
    </row>
    <row r="201" spans="1:15" x14ac:dyDescent="0.3">
      <c r="A201" s="36" t="s">
        <v>223</v>
      </c>
      <c r="B201" s="37" t="s">
        <v>13</v>
      </c>
      <c r="C201" s="38">
        <v>45673</v>
      </c>
      <c r="D201" s="37" t="s">
        <v>14</v>
      </c>
      <c r="E201" s="37" t="s">
        <v>29</v>
      </c>
      <c r="F201" s="37"/>
      <c r="G201" s="37">
        <v>2605</v>
      </c>
      <c r="H201" s="37">
        <v>282</v>
      </c>
      <c r="I201" s="37">
        <v>148</v>
      </c>
      <c r="J201" s="37">
        <v>32201</v>
      </c>
      <c r="K201" s="37">
        <v>49583</v>
      </c>
      <c r="L201" s="37">
        <v>241</v>
      </c>
      <c r="M201" s="37" t="s">
        <v>16</v>
      </c>
      <c r="N201" s="45">
        <v>9.4251731312692197E-2</v>
      </c>
      <c r="O201" s="39" t="s">
        <v>36</v>
      </c>
    </row>
    <row r="202" spans="1:15" x14ac:dyDescent="0.3">
      <c r="A202" s="32" t="s">
        <v>308</v>
      </c>
      <c r="B202" s="33" t="s">
        <v>13</v>
      </c>
      <c r="C202" s="34">
        <v>45341</v>
      </c>
      <c r="D202" s="33" t="s">
        <v>14</v>
      </c>
      <c r="E202" s="33" t="s">
        <v>26</v>
      </c>
      <c r="F202" s="33"/>
      <c r="G202" s="33">
        <v>4752</v>
      </c>
      <c r="H202" s="33">
        <v>449</v>
      </c>
      <c r="I202" s="33">
        <v>309</v>
      </c>
      <c r="J202" s="33">
        <v>58530</v>
      </c>
      <c r="K202" s="33">
        <v>26630</v>
      </c>
      <c r="L202" s="33">
        <v>234</v>
      </c>
      <c r="M202" s="33" t="s">
        <v>20</v>
      </c>
      <c r="N202" s="44">
        <v>9.4139757389372997E-2</v>
      </c>
      <c r="O202" s="35" t="s">
        <v>19</v>
      </c>
    </row>
    <row r="203" spans="1:15" x14ac:dyDescent="0.3">
      <c r="A203" s="36" t="s">
        <v>154</v>
      </c>
      <c r="B203" s="37" t="s">
        <v>13</v>
      </c>
      <c r="C203" s="38">
        <v>45777</v>
      </c>
      <c r="D203" s="37" t="s">
        <v>23</v>
      </c>
      <c r="E203" s="37" t="s">
        <v>24</v>
      </c>
      <c r="F203" s="37"/>
      <c r="G203" s="37">
        <v>3916</v>
      </c>
      <c r="H203" s="37">
        <v>459</v>
      </c>
      <c r="I203" s="37">
        <v>229</v>
      </c>
      <c r="J203" s="37">
        <v>48989</v>
      </c>
      <c r="K203" s="37">
        <v>39768</v>
      </c>
      <c r="L203" s="37">
        <v>200</v>
      </c>
      <c r="M203" s="37" t="s">
        <v>49</v>
      </c>
      <c r="N203" s="45">
        <v>9.3980281287635997E-2</v>
      </c>
      <c r="O203" s="39" t="s">
        <v>36</v>
      </c>
    </row>
    <row r="204" spans="1:15" x14ac:dyDescent="0.3">
      <c r="A204" s="32" t="s">
        <v>46</v>
      </c>
      <c r="B204" s="33" t="s">
        <v>22</v>
      </c>
      <c r="C204" s="34">
        <v>45655</v>
      </c>
      <c r="D204" s="33" t="s">
        <v>23</v>
      </c>
      <c r="E204" s="33" t="s">
        <v>24</v>
      </c>
      <c r="F204" s="33"/>
      <c r="G204" s="33">
        <v>4049</v>
      </c>
      <c r="H204" s="33">
        <v>377</v>
      </c>
      <c r="I204" s="33">
        <v>94</v>
      </c>
      <c r="J204" s="33">
        <v>48182</v>
      </c>
      <c r="K204" s="33">
        <v>42875</v>
      </c>
      <c r="L204" s="33">
        <v>172</v>
      </c>
      <c r="M204" s="33" t="s">
        <v>16</v>
      </c>
      <c r="N204" s="44">
        <v>9.3810966751068897E-2</v>
      </c>
      <c r="O204" s="35" t="s">
        <v>355</v>
      </c>
    </row>
    <row r="205" spans="1:15" x14ac:dyDescent="0.3">
      <c r="A205" s="36" t="s">
        <v>46</v>
      </c>
      <c r="B205" s="37" t="s">
        <v>22</v>
      </c>
      <c r="C205" s="38">
        <v>45655</v>
      </c>
      <c r="D205" s="37" t="s">
        <v>23</v>
      </c>
      <c r="E205" s="37" t="s">
        <v>24</v>
      </c>
      <c r="F205" s="37"/>
      <c r="G205" s="37">
        <v>4049</v>
      </c>
      <c r="H205" s="37">
        <v>377</v>
      </c>
      <c r="I205" s="37">
        <v>94</v>
      </c>
      <c r="J205" s="37">
        <v>48182</v>
      </c>
      <c r="K205" s="37">
        <v>42875</v>
      </c>
      <c r="L205" s="37">
        <v>172</v>
      </c>
      <c r="M205" s="37" t="s">
        <v>16</v>
      </c>
      <c r="N205" s="45">
        <v>9.3810966751068897E-2</v>
      </c>
      <c r="O205" s="39" t="s">
        <v>36</v>
      </c>
    </row>
    <row r="206" spans="1:15" x14ac:dyDescent="0.3">
      <c r="A206" s="32" t="s">
        <v>75</v>
      </c>
      <c r="B206" s="33" t="s">
        <v>13</v>
      </c>
      <c r="C206" s="34">
        <v>45683</v>
      </c>
      <c r="D206" s="33" t="s">
        <v>23</v>
      </c>
      <c r="E206" s="33" t="s">
        <v>360</v>
      </c>
      <c r="F206" s="33" t="s">
        <v>361</v>
      </c>
      <c r="G206" s="33">
        <v>3451</v>
      </c>
      <c r="H206" s="33">
        <v>363</v>
      </c>
      <c r="I206" s="33">
        <v>393</v>
      </c>
      <c r="J206" s="33">
        <v>44853</v>
      </c>
      <c r="K206" s="33">
        <v>69032</v>
      </c>
      <c r="L206" s="33">
        <v>211</v>
      </c>
      <c r="M206" s="33" t="s">
        <v>49</v>
      </c>
      <c r="N206" s="44">
        <v>9.3795286825853405E-2</v>
      </c>
      <c r="O206" s="35" t="s">
        <v>36</v>
      </c>
    </row>
    <row r="207" spans="1:15" x14ac:dyDescent="0.3">
      <c r="A207" s="36" t="s">
        <v>302</v>
      </c>
      <c r="B207" s="37" t="s">
        <v>28</v>
      </c>
      <c r="C207" s="38">
        <v>45464</v>
      </c>
      <c r="D207" s="37" t="s">
        <v>51</v>
      </c>
      <c r="E207" s="37" t="s">
        <v>29</v>
      </c>
      <c r="F207" s="37"/>
      <c r="G207" s="37">
        <v>4621</v>
      </c>
      <c r="H207" s="37">
        <v>374</v>
      </c>
      <c r="I207" s="37">
        <v>298</v>
      </c>
      <c r="J207" s="37">
        <v>56979</v>
      </c>
      <c r="K207" s="37">
        <v>24098</v>
      </c>
      <c r="L207" s="37">
        <v>205</v>
      </c>
      <c r="M207" s="37" t="s">
        <v>52</v>
      </c>
      <c r="N207" s="45">
        <v>9.2893873181347494E-2</v>
      </c>
      <c r="O207" s="39" t="s">
        <v>19</v>
      </c>
    </row>
    <row r="208" spans="1:15" x14ac:dyDescent="0.3">
      <c r="A208" s="32" t="s">
        <v>302</v>
      </c>
      <c r="B208" s="33" t="s">
        <v>28</v>
      </c>
      <c r="C208" s="34">
        <v>45464</v>
      </c>
      <c r="D208" s="33" t="s">
        <v>51</v>
      </c>
      <c r="E208" s="33" t="s">
        <v>29</v>
      </c>
      <c r="F208" s="33"/>
      <c r="G208" s="33">
        <v>4621</v>
      </c>
      <c r="H208" s="33">
        <v>374</v>
      </c>
      <c r="I208" s="33">
        <v>298</v>
      </c>
      <c r="J208" s="33">
        <v>56979</v>
      </c>
      <c r="K208" s="33">
        <v>24098</v>
      </c>
      <c r="L208" s="33">
        <v>205</v>
      </c>
      <c r="M208" s="33" t="s">
        <v>52</v>
      </c>
      <c r="N208" s="44">
        <v>9.2893873181347494E-2</v>
      </c>
      <c r="O208" s="35" t="s">
        <v>39</v>
      </c>
    </row>
    <row r="209" spans="1:15" x14ac:dyDescent="0.3">
      <c r="A209" s="36" t="s">
        <v>278</v>
      </c>
      <c r="B209" s="37" t="s">
        <v>22</v>
      </c>
      <c r="C209" s="38">
        <v>45666</v>
      </c>
      <c r="D209" s="37" t="s">
        <v>23</v>
      </c>
      <c r="E209" s="37" t="s">
        <v>45</v>
      </c>
      <c r="F209" s="37"/>
      <c r="G209" s="37">
        <v>3817</v>
      </c>
      <c r="H209" s="37">
        <v>284</v>
      </c>
      <c r="I209" s="37">
        <v>204</v>
      </c>
      <c r="J209" s="37">
        <v>46434</v>
      </c>
      <c r="K209" s="37">
        <v>53396</v>
      </c>
      <c r="L209" s="37">
        <v>104</v>
      </c>
      <c r="M209" s="37" t="s">
        <v>16</v>
      </c>
      <c r="N209" s="45">
        <v>9.2712236723090799E-2</v>
      </c>
      <c r="O209" s="39" t="s">
        <v>355</v>
      </c>
    </row>
    <row r="210" spans="1:15" x14ac:dyDescent="0.3">
      <c r="A210" s="32" t="s">
        <v>278</v>
      </c>
      <c r="B210" s="33" t="s">
        <v>22</v>
      </c>
      <c r="C210" s="34">
        <v>45666</v>
      </c>
      <c r="D210" s="33" t="s">
        <v>23</v>
      </c>
      <c r="E210" s="33" t="s">
        <v>45</v>
      </c>
      <c r="F210" s="33"/>
      <c r="G210" s="33">
        <v>3817</v>
      </c>
      <c r="H210" s="33">
        <v>284</v>
      </c>
      <c r="I210" s="33">
        <v>204</v>
      </c>
      <c r="J210" s="33">
        <v>46434</v>
      </c>
      <c r="K210" s="33">
        <v>53396</v>
      </c>
      <c r="L210" s="33">
        <v>104</v>
      </c>
      <c r="M210" s="33" t="s">
        <v>16</v>
      </c>
      <c r="N210" s="44">
        <v>9.2712236723090799E-2</v>
      </c>
      <c r="O210" s="35" t="s">
        <v>36</v>
      </c>
    </row>
    <row r="211" spans="1:15" x14ac:dyDescent="0.3">
      <c r="A211" s="36" t="s">
        <v>176</v>
      </c>
      <c r="B211" s="37" t="s">
        <v>13</v>
      </c>
      <c r="C211" s="38">
        <v>45460</v>
      </c>
      <c r="D211" s="37" t="s">
        <v>14</v>
      </c>
      <c r="E211" s="37" t="s">
        <v>15</v>
      </c>
      <c r="F211" s="37"/>
      <c r="G211" s="37">
        <v>4283</v>
      </c>
      <c r="H211" s="37">
        <v>471</v>
      </c>
      <c r="I211" s="37">
        <v>156</v>
      </c>
      <c r="J211" s="37">
        <v>53004</v>
      </c>
      <c r="K211" s="37">
        <v>25678</v>
      </c>
      <c r="L211" s="37">
        <v>105</v>
      </c>
      <c r="M211" s="37" t="s">
        <v>20</v>
      </c>
      <c r="N211" s="45">
        <v>9.2634518149573603E-2</v>
      </c>
      <c r="O211" s="39" t="s">
        <v>19</v>
      </c>
    </row>
    <row r="212" spans="1:15" x14ac:dyDescent="0.3">
      <c r="A212" s="32" t="s">
        <v>165</v>
      </c>
      <c r="B212" s="33" t="s">
        <v>22</v>
      </c>
      <c r="C212" s="34">
        <v>45563</v>
      </c>
      <c r="D212" s="33" t="s">
        <v>14</v>
      </c>
      <c r="E212" s="33" t="s">
        <v>360</v>
      </c>
      <c r="F212" s="33" t="s">
        <v>361</v>
      </c>
      <c r="G212" s="33">
        <v>4006</v>
      </c>
      <c r="H212" s="33">
        <v>420</v>
      </c>
      <c r="I212" s="33">
        <v>194</v>
      </c>
      <c r="J212" s="33">
        <v>49964</v>
      </c>
      <c r="K212" s="33">
        <v>20685</v>
      </c>
      <c r="L212" s="33">
        <v>148</v>
      </c>
      <c r="M212" s="33" t="s">
        <v>16</v>
      </c>
      <c r="N212" s="44">
        <v>9.2466575934673001E-2</v>
      </c>
      <c r="O212" s="35" t="s">
        <v>36</v>
      </c>
    </row>
    <row r="213" spans="1:15" x14ac:dyDescent="0.3">
      <c r="A213" s="36" t="s">
        <v>185</v>
      </c>
      <c r="B213" s="37" t="s">
        <v>13</v>
      </c>
      <c r="C213" s="38">
        <v>45562</v>
      </c>
      <c r="D213" s="37" t="s">
        <v>14</v>
      </c>
      <c r="E213" s="37" t="s">
        <v>15</v>
      </c>
      <c r="F213" s="37"/>
      <c r="G213" s="37">
        <v>3118</v>
      </c>
      <c r="H213" s="37">
        <v>116</v>
      </c>
      <c r="I213" s="37">
        <v>195</v>
      </c>
      <c r="J213" s="37">
        <v>37100</v>
      </c>
      <c r="K213" s="37">
        <v>62629</v>
      </c>
      <c r="L213" s="37">
        <v>272</v>
      </c>
      <c r="M213" s="37" t="s">
        <v>20</v>
      </c>
      <c r="N213" s="45">
        <v>9.2425876010781699E-2</v>
      </c>
      <c r="O213" s="39" t="s">
        <v>19</v>
      </c>
    </row>
    <row r="214" spans="1:15" x14ac:dyDescent="0.3">
      <c r="A214" s="32" t="s">
        <v>199</v>
      </c>
      <c r="B214" s="33" t="s">
        <v>13</v>
      </c>
      <c r="C214" s="34">
        <v>45387</v>
      </c>
      <c r="D214" s="33" t="s">
        <v>14</v>
      </c>
      <c r="E214" s="33" t="s">
        <v>24</v>
      </c>
      <c r="F214" s="33"/>
      <c r="G214" s="33">
        <v>4383</v>
      </c>
      <c r="H214" s="33">
        <v>352</v>
      </c>
      <c r="I214" s="33">
        <v>176</v>
      </c>
      <c r="J214" s="33">
        <v>53239</v>
      </c>
      <c r="K214" s="33">
        <v>34168</v>
      </c>
      <c r="L214" s="33">
        <v>288</v>
      </c>
      <c r="M214" s="33" t="s">
        <v>20</v>
      </c>
      <c r="N214" s="44">
        <v>9.2244407295403799E-2</v>
      </c>
      <c r="O214" s="35" t="s">
        <v>19</v>
      </c>
    </row>
    <row r="215" spans="1:15" x14ac:dyDescent="0.3">
      <c r="A215" s="36" t="s">
        <v>97</v>
      </c>
      <c r="B215" s="37" t="s">
        <v>22</v>
      </c>
      <c r="C215" s="38">
        <v>45679</v>
      </c>
      <c r="D215" s="37" t="s">
        <v>23</v>
      </c>
      <c r="E215" s="37" t="s">
        <v>24</v>
      </c>
      <c r="F215" s="37"/>
      <c r="G215" s="37">
        <v>4478</v>
      </c>
      <c r="H215" s="37">
        <v>101</v>
      </c>
      <c r="I215" s="37">
        <v>121</v>
      </c>
      <c r="J215" s="37">
        <v>51035</v>
      </c>
      <c r="K215" s="37">
        <v>58207</v>
      </c>
      <c r="L215" s="37">
        <v>205</v>
      </c>
      <c r="M215" s="37" t="s">
        <v>16</v>
      </c>
      <c r="N215" s="45">
        <v>9.2093661212893099E-2</v>
      </c>
      <c r="O215" s="39" t="s">
        <v>355</v>
      </c>
    </row>
    <row r="216" spans="1:15" x14ac:dyDescent="0.3">
      <c r="A216" s="32" t="s">
        <v>97</v>
      </c>
      <c r="B216" s="33" t="s">
        <v>22</v>
      </c>
      <c r="C216" s="34">
        <v>45679</v>
      </c>
      <c r="D216" s="33" t="s">
        <v>23</v>
      </c>
      <c r="E216" s="33" t="s">
        <v>24</v>
      </c>
      <c r="F216" s="33"/>
      <c r="G216" s="33">
        <v>4478</v>
      </c>
      <c r="H216" s="33">
        <v>101</v>
      </c>
      <c r="I216" s="33">
        <v>121</v>
      </c>
      <c r="J216" s="33">
        <v>51035</v>
      </c>
      <c r="K216" s="33">
        <v>58207</v>
      </c>
      <c r="L216" s="33">
        <v>205</v>
      </c>
      <c r="M216" s="33" t="s">
        <v>16</v>
      </c>
      <c r="N216" s="44">
        <v>9.2093661212893099E-2</v>
      </c>
      <c r="O216" s="35" t="s">
        <v>36</v>
      </c>
    </row>
    <row r="217" spans="1:15" x14ac:dyDescent="0.3">
      <c r="A217" s="36" t="s">
        <v>262</v>
      </c>
      <c r="B217" s="37" t="s">
        <v>28</v>
      </c>
      <c r="C217" s="38">
        <v>45346</v>
      </c>
      <c r="D217" s="37" t="s">
        <v>14</v>
      </c>
      <c r="E217" s="37" t="s">
        <v>29</v>
      </c>
      <c r="F217" s="37"/>
      <c r="G217" s="37">
        <v>4653</v>
      </c>
      <c r="H217" s="37">
        <v>226</v>
      </c>
      <c r="I217" s="37">
        <v>349</v>
      </c>
      <c r="J217" s="37">
        <v>56876</v>
      </c>
      <c r="K217" s="37">
        <v>28452</v>
      </c>
      <c r="L217" s="37">
        <v>257</v>
      </c>
      <c r="M217" s="37" t="s">
        <v>20</v>
      </c>
      <c r="N217" s="45">
        <v>9.1919262958013906E-2</v>
      </c>
      <c r="O217" s="39" t="s">
        <v>19</v>
      </c>
    </row>
    <row r="218" spans="1:15" x14ac:dyDescent="0.3">
      <c r="A218" s="32" t="s">
        <v>262</v>
      </c>
      <c r="B218" s="33" t="s">
        <v>28</v>
      </c>
      <c r="C218" s="34">
        <v>45346</v>
      </c>
      <c r="D218" s="33" t="s">
        <v>14</v>
      </c>
      <c r="E218" s="33" t="s">
        <v>29</v>
      </c>
      <c r="F218" s="33"/>
      <c r="G218" s="33">
        <v>4653</v>
      </c>
      <c r="H218" s="33">
        <v>226</v>
      </c>
      <c r="I218" s="33">
        <v>349</v>
      </c>
      <c r="J218" s="33">
        <v>56876</v>
      </c>
      <c r="K218" s="33">
        <v>28452</v>
      </c>
      <c r="L218" s="33">
        <v>257</v>
      </c>
      <c r="M218" s="33" t="s">
        <v>20</v>
      </c>
      <c r="N218" s="44">
        <v>9.1919262958013906E-2</v>
      </c>
      <c r="O218" s="35" t="s">
        <v>354</v>
      </c>
    </row>
    <row r="219" spans="1:15" x14ac:dyDescent="0.3">
      <c r="A219" s="36" t="s">
        <v>298</v>
      </c>
      <c r="B219" s="37" t="s">
        <v>22</v>
      </c>
      <c r="C219" s="38">
        <v>45825</v>
      </c>
      <c r="D219" s="37" t="s">
        <v>23</v>
      </c>
      <c r="E219" s="37" t="s">
        <v>18</v>
      </c>
      <c r="F219" s="37"/>
      <c r="G219" s="37">
        <v>4341</v>
      </c>
      <c r="H219" s="37">
        <v>141</v>
      </c>
      <c r="I219" s="37">
        <v>63</v>
      </c>
      <c r="J219" s="37">
        <v>50081</v>
      </c>
      <c r="K219" s="37">
        <v>27507</v>
      </c>
      <c r="L219" s="37">
        <v>221</v>
      </c>
      <c r="M219" s="37" t="s">
        <v>16</v>
      </c>
      <c r="N219" s="45">
        <v>9.0752980172121203E-2</v>
      </c>
      <c r="O219" s="39" t="s">
        <v>19</v>
      </c>
    </row>
    <row r="220" spans="1:15" x14ac:dyDescent="0.3">
      <c r="A220" s="32" t="s">
        <v>298</v>
      </c>
      <c r="B220" s="33" t="s">
        <v>22</v>
      </c>
      <c r="C220" s="34">
        <v>45825</v>
      </c>
      <c r="D220" s="33" t="s">
        <v>23</v>
      </c>
      <c r="E220" s="33" t="s">
        <v>18</v>
      </c>
      <c r="F220" s="33"/>
      <c r="G220" s="33">
        <v>4341</v>
      </c>
      <c r="H220" s="33">
        <v>141</v>
      </c>
      <c r="I220" s="33">
        <v>63</v>
      </c>
      <c r="J220" s="33">
        <v>50081</v>
      </c>
      <c r="K220" s="33">
        <v>27507</v>
      </c>
      <c r="L220" s="33">
        <v>221</v>
      </c>
      <c r="M220" s="33" t="s">
        <v>16</v>
      </c>
      <c r="N220" s="44">
        <v>9.0752980172121203E-2</v>
      </c>
      <c r="O220" s="35" t="s">
        <v>355</v>
      </c>
    </row>
    <row r="221" spans="1:15" x14ac:dyDescent="0.3">
      <c r="A221" s="36" t="s">
        <v>99</v>
      </c>
      <c r="B221" s="37" t="s">
        <v>13</v>
      </c>
      <c r="C221" s="38">
        <v>45763</v>
      </c>
      <c r="D221" s="37" t="s">
        <v>14</v>
      </c>
      <c r="E221" s="37" t="s">
        <v>26</v>
      </c>
      <c r="F221" s="37"/>
      <c r="G221" s="37">
        <v>4836</v>
      </c>
      <c r="H221" s="37">
        <v>331</v>
      </c>
      <c r="I221" s="37">
        <v>140</v>
      </c>
      <c r="J221" s="37">
        <v>58792</v>
      </c>
      <c r="K221" s="37">
        <v>47711</v>
      </c>
      <c r="L221" s="37">
        <v>227</v>
      </c>
      <c r="M221" s="37" t="s">
        <v>16</v>
      </c>
      <c r="N221" s="45">
        <v>9.0267383317458205E-2</v>
      </c>
      <c r="O221" s="39" t="s">
        <v>39</v>
      </c>
    </row>
    <row r="222" spans="1:15" x14ac:dyDescent="0.3">
      <c r="A222" s="32" t="s">
        <v>99</v>
      </c>
      <c r="B222" s="33" t="s">
        <v>13</v>
      </c>
      <c r="C222" s="34">
        <v>45763</v>
      </c>
      <c r="D222" s="33" t="s">
        <v>14</v>
      </c>
      <c r="E222" s="33" t="s">
        <v>26</v>
      </c>
      <c r="F222" s="33"/>
      <c r="G222" s="33">
        <v>4836</v>
      </c>
      <c r="H222" s="33">
        <v>331</v>
      </c>
      <c r="I222" s="33">
        <v>140</v>
      </c>
      <c r="J222" s="33">
        <v>58792</v>
      </c>
      <c r="K222" s="33">
        <v>47711</v>
      </c>
      <c r="L222" s="33">
        <v>227</v>
      </c>
      <c r="M222" s="33" t="s">
        <v>16</v>
      </c>
      <c r="N222" s="44">
        <v>9.0267383317458205E-2</v>
      </c>
      <c r="O222" s="35" t="s">
        <v>36</v>
      </c>
    </row>
    <row r="223" spans="1:15" x14ac:dyDescent="0.3">
      <c r="A223" s="36" t="s">
        <v>225</v>
      </c>
      <c r="B223" s="37" t="s">
        <v>22</v>
      </c>
      <c r="C223" s="38">
        <v>45551</v>
      </c>
      <c r="D223" s="37" t="s">
        <v>23</v>
      </c>
      <c r="E223" s="37" t="s">
        <v>360</v>
      </c>
      <c r="F223" s="37" t="s">
        <v>361</v>
      </c>
      <c r="G223" s="37">
        <v>4422</v>
      </c>
      <c r="H223" s="37">
        <v>434</v>
      </c>
      <c r="I223" s="37">
        <v>156</v>
      </c>
      <c r="J223" s="37">
        <v>56165</v>
      </c>
      <c r="K223" s="37">
        <v>52431</v>
      </c>
      <c r="L223" s="37">
        <v>173</v>
      </c>
      <c r="M223" s="37" t="s">
        <v>16</v>
      </c>
      <c r="N223" s="45">
        <v>8.9237069349238807E-2</v>
      </c>
      <c r="O223" s="39" t="s">
        <v>19</v>
      </c>
    </row>
    <row r="224" spans="1:15" x14ac:dyDescent="0.3">
      <c r="A224" s="32" t="s">
        <v>225</v>
      </c>
      <c r="B224" s="33" t="s">
        <v>22</v>
      </c>
      <c r="C224" s="34">
        <v>45551</v>
      </c>
      <c r="D224" s="33" t="s">
        <v>23</v>
      </c>
      <c r="E224" s="33" t="s">
        <v>360</v>
      </c>
      <c r="F224" s="33" t="s">
        <v>361</v>
      </c>
      <c r="G224" s="33">
        <v>4422</v>
      </c>
      <c r="H224" s="33">
        <v>434</v>
      </c>
      <c r="I224" s="33">
        <v>156</v>
      </c>
      <c r="J224" s="33">
        <v>56165</v>
      </c>
      <c r="K224" s="33">
        <v>52431</v>
      </c>
      <c r="L224" s="33">
        <v>173</v>
      </c>
      <c r="M224" s="33" t="s">
        <v>16</v>
      </c>
      <c r="N224" s="44">
        <v>8.9237069349238807E-2</v>
      </c>
      <c r="O224" s="35" t="s">
        <v>355</v>
      </c>
    </row>
    <row r="225" spans="1:15" x14ac:dyDescent="0.3">
      <c r="A225" s="36" t="s">
        <v>137</v>
      </c>
      <c r="B225" s="37" t="s">
        <v>22</v>
      </c>
      <c r="C225" s="38">
        <v>45413</v>
      </c>
      <c r="D225" s="37" t="s">
        <v>23</v>
      </c>
      <c r="E225" s="37" t="s">
        <v>360</v>
      </c>
      <c r="F225" s="37" t="s">
        <v>361</v>
      </c>
      <c r="G225" s="37">
        <v>2587</v>
      </c>
      <c r="H225" s="37">
        <v>447</v>
      </c>
      <c r="I225" s="37">
        <v>183</v>
      </c>
      <c r="J225" s="37">
        <v>36266</v>
      </c>
      <c r="K225" s="37">
        <v>32877</v>
      </c>
      <c r="L225" s="37">
        <v>132</v>
      </c>
      <c r="M225" s="37" t="s">
        <v>16</v>
      </c>
      <c r="N225" s="45">
        <v>8.8705674736668003E-2</v>
      </c>
      <c r="O225" s="39" t="s">
        <v>19</v>
      </c>
    </row>
    <row r="226" spans="1:15" x14ac:dyDescent="0.3">
      <c r="A226" s="32" t="s">
        <v>137</v>
      </c>
      <c r="B226" s="33" t="s">
        <v>22</v>
      </c>
      <c r="C226" s="34">
        <v>45413</v>
      </c>
      <c r="D226" s="33" t="s">
        <v>23</v>
      </c>
      <c r="E226" s="33" t="s">
        <v>360</v>
      </c>
      <c r="F226" s="33" t="s">
        <v>361</v>
      </c>
      <c r="G226" s="33">
        <v>2587</v>
      </c>
      <c r="H226" s="33">
        <v>447</v>
      </c>
      <c r="I226" s="33">
        <v>183</v>
      </c>
      <c r="J226" s="33">
        <v>36266</v>
      </c>
      <c r="K226" s="33">
        <v>32877</v>
      </c>
      <c r="L226" s="33">
        <v>132</v>
      </c>
      <c r="M226" s="33" t="s">
        <v>16</v>
      </c>
      <c r="N226" s="44">
        <v>8.8705674736668003E-2</v>
      </c>
      <c r="O226" s="35" t="s">
        <v>355</v>
      </c>
    </row>
    <row r="227" spans="1:15" x14ac:dyDescent="0.3">
      <c r="A227" s="36" t="s">
        <v>91</v>
      </c>
      <c r="B227" s="37" t="s">
        <v>28</v>
      </c>
      <c r="C227" s="38">
        <v>45490</v>
      </c>
      <c r="D227" s="37" t="s">
        <v>14</v>
      </c>
      <c r="E227" s="37" t="s">
        <v>35</v>
      </c>
      <c r="F227" s="37"/>
      <c r="G227" s="37">
        <v>3135</v>
      </c>
      <c r="H227" s="37">
        <v>110</v>
      </c>
      <c r="I227" s="37">
        <v>215</v>
      </c>
      <c r="J227" s="37">
        <v>39192</v>
      </c>
      <c r="K227" s="37">
        <v>24744</v>
      </c>
      <c r="L227" s="37">
        <v>177</v>
      </c>
      <c r="M227" s="37" t="s">
        <v>20</v>
      </c>
      <c r="N227" s="45">
        <v>8.82833231271688E-2</v>
      </c>
      <c r="O227" s="39" t="s">
        <v>19</v>
      </c>
    </row>
    <row r="228" spans="1:15" x14ac:dyDescent="0.3">
      <c r="A228" s="32" t="s">
        <v>91</v>
      </c>
      <c r="B228" s="33" t="s">
        <v>28</v>
      </c>
      <c r="C228" s="34">
        <v>45490</v>
      </c>
      <c r="D228" s="33" t="s">
        <v>14</v>
      </c>
      <c r="E228" s="33" t="s">
        <v>35</v>
      </c>
      <c r="F228" s="33"/>
      <c r="G228" s="33">
        <v>3135</v>
      </c>
      <c r="H228" s="33">
        <v>110</v>
      </c>
      <c r="I228" s="33">
        <v>215</v>
      </c>
      <c r="J228" s="33">
        <v>39192</v>
      </c>
      <c r="K228" s="33">
        <v>24744</v>
      </c>
      <c r="L228" s="33">
        <v>177</v>
      </c>
      <c r="M228" s="33" t="s">
        <v>20</v>
      </c>
      <c r="N228" s="44">
        <v>8.82833231271688E-2</v>
      </c>
      <c r="O228" s="35" t="s">
        <v>354</v>
      </c>
    </row>
    <row r="229" spans="1:15" x14ac:dyDescent="0.3">
      <c r="A229" s="36" t="s">
        <v>114</v>
      </c>
      <c r="B229" s="37" t="s">
        <v>22</v>
      </c>
      <c r="C229" s="38">
        <v>45723</v>
      </c>
      <c r="D229" s="37" t="s">
        <v>14</v>
      </c>
      <c r="E229" s="37" t="s">
        <v>32</v>
      </c>
      <c r="F229" s="37"/>
      <c r="G229" s="37">
        <v>4234</v>
      </c>
      <c r="H229" s="37">
        <v>486</v>
      </c>
      <c r="I229" s="37">
        <v>276</v>
      </c>
      <c r="J229" s="37">
        <v>56623</v>
      </c>
      <c r="K229" s="37">
        <v>41343</v>
      </c>
      <c r="L229" s="37">
        <v>184</v>
      </c>
      <c r="M229" s="37" t="s">
        <v>20</v>
      </c>
      <c r="N229" s="45">
        <v>8.8232696960599002E-2</v>
      </c>
      <c r="O229" s="39" t="s">
        <v>39</v>
      </c>
    </row>
    <row r="230" spans="1:15" x14ac:dyDescent="0.3">
      <c r="A230" s="32" t="s">
        <v>94</v>
      </c>
      <c r="B230" s="33" t="s">
        <v>28</v>
      </c>
      <c r="C230" s="34">
        <v>45292</v>
      </c>
      <c r="D230" s="33" t="s">
        <v>51</v>
      </c>
      <c r="E230" s="33" t="s">
        <v>18</v>
      </c>
      <c r="F230" s="33"/>
      <c r="G230" s="33">
        <v>3437</v>
      </c>
      <c r="H230" s="33">
        <v>129</v>
      </c>
      <c r="I230" s="33">
        <v>359</v>
      </c>
      <c r="J230" s="33">
        <v>44558</v>
      </c>
      <c r="K230" s="33">
        <v>30854</v>
      </c>
      <c r="L230" s="33">
        <v>171</v>
      </c>
      <c r="M230" s="33" t="s">
        <v>52</v>
      </c>
      <c r="N230" s="44">
        <v>8.8087436599488297E-2</v>
      </c>
      <c r="O230" s="35" t="s">
        <v>19</v>
      </c>
    </row>
    <row r="231" spans="1:15" x14ac:dyDescent="0.3">
      <c r="A231" s="36" t="s">
        <v>94</v>
      </c>
      <c r="B231" s="37" t="s">
        <v>28</v>
      </c>
      <c r="C231" s="38">
        <v>45292</v>
      </c>
      <c r="D231" s="37" t="s">
        <v>51</v>
      </c>
      <c r="E231" s="37" t="s">
        <v>18</v>
      </c>
      <c r="F231" s="37"/>
      <c r="G231" s="37">
        <v>3437</v>
      </c>
      <c r="H231" s="37">
        <v>129</v>
      </c>
      <c r="I231" s="37">
        <v>359</v>
      </c>
      <c r="J231" s="37">
        <v>44558</v>
      </c>
      <c r="K231" s="37">
        <v>30854</v>
      </c>
      <c r="L231" s="37">
        <v>171</v>
      </c>
      <c r="M231" s="37" t="s">
        <v>52</v>
      </c>
      <c r="N231" s="45">
        <v>8.8087436599488297E-2</v>
      </c>
      <c r="O231" s="39" t="s">
        <v>39</v>
      </c>
    </row>
    <row r="232" spans="1:15" x14ac:dyDescent="0.3">
      <c r="A232" s="32" t="s">
        <v>33</v>
      </c>
      <c r="B232" s="33" t="s">
        <v>22</v>
      </c>
      <c r="C232" s="34">
        <v>45421</v>
      </c>
      <c r="D232" s="33" t="s">
        <v>23</v>
      </c>
      <c r="E232" s="33" t="s">
        <v>26</v>
      </c>
      <c r="F232" s="33"/>
      <c r="G232" s="33">
        <v>1428</v>
      </c>
      <c r="H232" s="33">
        <v>347</v>
      </c>
      <c r="I232" s="33">
        <v>67</v>
      </c>
      <c r="J232" s="33">
        <v>21148</v>
      </c>
      <c r="K232" s="33">
        <v>19712</v>
      </c>
      <c r="L232" s="33">
        <v>120</v>
      </c>
      <c r="M232" s="33" t="s">
        <v>16</v>
      </c>
      <c r="N232" s="44">
        <v>8.7100435029317205E-2</v>
      </c>
      <c r="O232" s="35" t="s">
        <v>19</v>
      </c>
    </row>
    <row r="233" spans="1:15" x14ac:dyDescent="0.3">
      <c r="A233" s="36" t="s">
        <v>33</v>
      </c>
      <c r="B233" s="37" t="s">
        <v>22</v>
      </c>
      <c r="C233" s="38">
        <v>45421</v>
      </c>
      <c r="D233" s="37" t="s">
        <v>23</v>
      </c>
      <c r="E233" s="37" t="s">
        <v>26</v>
      </c>
      <c r="F233" s="37"/>
      <c r="G233" s="37">
        <v>1428</v>
      </c>
      <c r="H233" s="37">
        <v>347</v>
      </c>
      <c r="I233" s="37">
        <v>67</v>
      </c>
      <c r="J233" s="37">
        <v>21148</v>
      </c>
      <c r="K233" s="37">
        <v>19712</v>
      </c>
      <c r="L233" s="37">
        <v>120</v>
      </c>
      <c r="M233" s="37" t="s">
        <v>16</v>
      </c>
      <c r="N233" s="45">
        <v>8.7100435029317205E-2</v>
      </c>
      <c r="O233" s="39" t="s">
        <v>355</v>
      </c>
    </row>
    <row r="234" spans="1:15" x14ac:dyDescent="0.3">
      <c r="A234" s="32" t="s">
        <v>17</v>
      </c>
      <c r="B234" s="33" t="s">
        <v>13</v>
      </c>
      <c r="C234" s="34">
        <v>45689</v>
      </c>
      <c r="D234" s="33" t="s">
        <v>14</v>
      </c>
      <c r="E234" s="33" t="s">
        <v>18</v>
      </c>
      <c r="F234" s="33"/>
      <c r="G234" s="33">
        <v>1934</v>
      </c>
      <c r="H234" s="33">
        <v>210</v>
      </c>
      <c r="I234" s="33">
        <v>393</v>
      </c>
      <c r="J234" s="33">
        <v>29129</v>
      </c>
      <c r="K234" s="33">
        <v>73287</v>
      </c>
      <c r="L234" s="33">
        <v>273</v>
      </c>
      <c r="M234" s="33" t="s">
        <v>20</v>
      </c>
      <c r="N234" s="44">
        <v>8.7095334546328396E-2</v>
      </c>
      <c r="O234" s="35" t="s">
        <v>19</v>
      </c>
    </row>
    <row r="235" spans="1:15" x14ac:dyDescent="0.3">
      <c r="A235" s="36" t="s">
        <v>173</v>
      </c>
      <c r="B235" s="37" t="s">
        <v>22</v>
      </c>
      <c r="C235" s="38">
        <v>45531</v>
      </c>
      <c r="D235" s="37" t="s">
        <v>23</v>
      </c>
      <c r="E235" s="37" t="s">
        <v>24</v>
      </c>
      <c r="F235" s="37"/>
      <c r="G235" s="37">
        <v>1856</v>
      </c>
      <c r="H235" s="37">
        <v>357</v>
      </c>
      <c r="I235" s="37">
        <v>348</v>
      </c>
      <c r="J235" s="37">
        <v>29428</v>
      </c>
      <c r="K235" s="37">
        <v>70206</v>
      </c>
      <c r="L235" s="37">
        <v>236</v>
      </c>
      <c r="M235" s="37" t="s">
        <v>16</v>
      </c>
      <c r="N235" s="45">
        <v>8.7025961669158602E-2</v>
      </c>
      <c r="O235" s="39" t="s">
        <v>355</v>
      </c>
    </row>
    <row r="236" spans="1:15" x14ac:dyDescent="0.3">
      <c r="A236" s="32" t="s">
        <v>173</v>
      </c>
      <c r="B236" s="33" t="s">
        <v>22</v>
      </c>
      <c r="C236" s="34">
        <v>45531</v>
      </c>
      <c r="D236" s="33" t="s">
        <v>23</v>
      </c>
      <c r="E236" s="33" t="s">
        <v>24</v>
      </c>
      <c r="F236" s="33"/>
      <c r="G236" s="33">
        <v>1856</v>
      </c>
      <c r="H236" s="33">
        <v>357</v>
      </c>
      <c r="I236" s="33">
        <v>348</v>
      </c>
      <c r="J236" s="33">
        <v>29428</v>
      </c>
      <c r="K236" s="33">
        <v>70206</v>
      </c>
      <c r="L236" s="33">
        <v>236</v>
      </c>
      <c r="M236" s="33" t="s">
        <v>16</v>
      </c>
      <c r="N236" s="44">
        <v>8.7025961669158602E-2</v>
      </c>
      <c r="O236" s="35" t="s">
        <v>36</v>
      </c>
    </row>
    <row r="237" spans="1:15" x14ac:dyDescent="0.3">
      <c r="A237" s="36" t="s">
        <v>148</v>
      </c>
      <c r="B237" s="37" t="s">
        <v>13</v>
      </c>
      <c r="C237" s="38">
        <v>45762</v>
      </c>
      <c r="D237" s="37" t="s">
        <v>14</v>
      </c>
      <c r="E237" s="37" t="s">
        <v>18</v>
      </c>
      <c r="F237" s="37"/>
      <c r="G237" s="37">
        <v>4177</v>
      </c>
      <c r="H237" s="37">
        <v>489</v>
      </c>
      <c r="I237" s="37">
        <v>331</v>
      </c>
      <c r="J237" s="37">
        <v>57451</v>
      </c>
      <c r="K237" s="37">
        <v>73793</v>
      </c>
      <c r="L237" s="37">
        <v>251</v>
      </c>
      <c r="M237" s="37" t="s">
        <v>20</v>
      </c>
      <c r="N237" s="45">
        <v>8.6978468608031198E-2</v>
      </c>
      <c r="O237" s="39" t="s">
        <v>19</v>
      </c>
    </row>
    <row r="238" spans="1:15" x14ac:dyDescent="0.3">
      <c r="A238" s="32" t="s">
        <v>255</v>
      </c>
      <c r="B238" s="33" t="s">
        <v>22</v>
      </c>
      <c r="C238" s="34">
        <v>45829</v>
      </c>
      <c r="D238" s="33" t="s">
        <v>14</v>
      </c>
      <c r="E238" s="33" t="s">
        <v>18</v>
      </c>
      <c r="F238" s="33"/>
      <c r="G238" s="33">
        <v>3611</v>
      </c>
      <c r="H238" s="33">
        <v>127</v>
      </c>
      <c r="I238" s="33">
        <v>139</v>
      </c>
      <c r="J238" s="33">
        <v>44768</v>
      </c>
      <c r="K238" s="33">
        <v>29435</v>
      </c>
      <c r="L238" s="33">
        <v>178</v>
      </c>
      <c r="M238" s="33" t="s">
        <v>16</v>
      </c>
      <c r="N238" s="44">
        <v>8.6602037169406704E-2</v>
      </c>
      <c r="O238" s="35" t="s">
        <v>36</v>
      </c>
    </row>
    <row r="239" spans="1:15" x14ac:dyDescent="0.3">
      <c r="A239" s="36" t="s">
        <v>140</v>
      </c>
      <c r="B239" s="37" t="s">
        <v>22</v>
      </c>
      <c r="C239" s="38">
        <v>45670</v>
      </c>
      <c r="D239" s="37" t="s">
        <v>14</v>
      </c>
      <c r="E239" s="37" t="s">
        <v>29</v>
      </c>
      <c r="F239" s="37"/>
      <c r="G239" s="37">
        <v>4090</v>
      </c>
      <c r="H239" s="37">
        <v>209</v>
      </c>
      <c r="I239" s="37">
        <v>278</v>
      </c>
      <c r="J239" s="37">
        <v>52853</v>
      </c>
      <c r="K239" s="37">
        <v>57084</v>
      </c>
      <c r="L239" s="37">
        <v>102</v>
      </c>
      <c r="M239" s="37" t="s">
        <v>20</v>
      </c>
      <c r="N239" s="45">
        <v>8.6598679355949504E-2</v>
      </c>
      <c r="O239" s="39" t="s">
        <v>39</v>
      </c>
    </row>
    <row r="240" spans="1:15" x14ac:dyDescent="0.3">
      <c r="A240" s="32" t="s">
        <v>277</v>
      </c>
      <c r="B240" s="33" t="s">
        <v>28</v>
      </c>
      <c r="C240" s="34">
        <v>45816</v>
      </c>
      <c r="D240" s="33" t="s">
        <v>14</v>
      </c>
      <c r="E240" s="33" t="s">
        <v>29</v>
      </c>
      <c r="F240" s="33"/>
      <c r="G240" s="33">
        <v>4375</v>
      </c>
      <c r="H240" s="33">
        <v>303</v>
      </c>
      <c r="I240" s="33">
        <v>294</v>
      </c>
      <c r="J240" s="33">
        <v>57468</v>
      </c>
      <c r="K240" s="33">
        <v>53397</v>
      </c>
      <c r="L240" s="33">
        <v>159</v>
      </c>
      <c r="M240" s="33" t="s">
        <v>20</v>
      </c>
      <c r="N240" s="44">
        <v>8.6517714206166899E-2</v>
      </c>
      <c r="O240" s="35" t="s">
        <v>19</v>
      </c>
    </row>
    <row r="241" spans="1:15" x14ac:dyDescent="0.3">
      <c r="A241" s="36" t="s">
        <v>277</v>
      </c>
      <c r="B241" s="37" t="s">
        <v>28</v>
      </c>
      <c r="C241" s="38">
        <v>45816</v>
      </c>
      <c r="D241" s="37" t="s">
        <v>14</v>
      </c>
      <c r="E241" s="37" t="s">
        <v>29</v>
      </c>
      <c r="F241" s="37"/>
      <c r="G241" s="37">
        <v>4375</v>
      </c>
      <c r="H241" s="37">
        <v>303</v>
      </c>
      <c r="I241" s="37">
        <v>294</v>
      </c>
      <c r="J241" s="37">
        <v>57468</v>
      </c>
      <c r="K241" s="37">
        <v>53397</v>
      </c>
      <c r="L241" s="37">
        <v>159</v>
      </c>
      <c r="M241" s="37" t="s">
        <v>20</v>
      </c>
      <c r="N241" s="45">
        <v>8.6517714206166899E-2</v>
      </c>
      <c r="O241" s="39" t="s">
        <v>354</v>
      </c>
    </row>
    <row r="242" spans="1:15" x14ac:dyDescent="0.3">
      <c r="A242" s="32" t="s">
        <v>316</v>
      </c>
      <c r="B242" s="33" t="s">
        <v>13</v>
      </c>
      <c r="C242" s="34">
        <v>45531</v>
      </c>
      <c r="D242" s="33" t="s">
        <v>14</v>
      </c>
      <c r="E242" s="33" t="s">
        <v>29</v>
      </c>
      <c r="F242" s="33"/>
      <c r="G242" s="33">
        <v>4197</v>
      </c>
      <c r="H242" s="33">
        <v>359</v>
      </c>
      <c r="I242" s="33">
        <v>280</v>
      </c>
      <c r="J242" s="33">
        <v>56048</v>
      </c>
      <c r="K242" s="33">
        <v>70930</v>
      </c>
      <c r="L242" s="33">
        <v>295</v>
      </c>
      <c r="M242" s="33" t="s">
        <v>20</v>
      </c>
      <c r="N242" s="44">
        <v>8.6283185840708002E-2</v>
      </c>
      <c r="O242" s="35" t="s">
        <v>19</v>
      </c>
    </row>
    <row r="243" spans="1:15" x14ac:dyDescent="0.3">
      <c r="A243" s="36" t="s">
        <v>218</v>
      </c>
      <c r="B243" s="37" t="s">
        <v>28</v>
      </c>
      <c r="C243" s="38">
        <v>45769</v>
      </c>
      <c r="D243" s="37" t="s">
        <v>51</v>
      </c>
      <c r="E243" s="37" t="s">
        <v>24</v>
      </c>
      <c r="F243" s="37"/>
      <c r="G243" s="37">
        <v>2733</v>
      </c>
      <c r="H243" s="37">
        <v>297</v>
      </c>
      <c r="I243" s="37">
        <v>235</v>
      </c>
      <c r="J243" s="37">
        <v>37980</v>
      </c>
      <c r="K243" s="37">
        <v>33058</v>
      </c>
      <c r="L243" s="37">
        <v>219</v>
      </c>
      <c r="M243" s="37" t="s">
        <v>52</v>
      </c>
      <c r="N243" s="45">
        <v>8.5966298051606105E-2</v>
      </c>
      <c r="O243" s="39" t="s">
        <v>19</v>
      </c>
    </row>
    <row r="244" spans="1:15" x14ac:dyDescent="0.3">
      <c r="A244" s="32" t="s">
        <v>218</v>
      </c>
      <c r="B244" s="33" t="s">
        <v>28</v>
      </c>
      <c r="C244" s="34">
        <v>45769</v>
      </c>
      <c r="D244" s="33" t="s">
        <v>51</v>
      </c>
      <c r="E244" s="33" t="s">
        <v>24</v>
      </c>
      <c r="F244" s="33"/>
      <c r="G244" s="33">
        <v>2733</v>
      </c>
      <c r="H244" s="33">
        <v>297</v>
      </c>
      <c r="I244" s="33">
        <v>235</v>
      </c>
      <c r="J244" s="33">
        <v>37980</v>
      </c>
      <c r="K244" s="33">
        <v>33058</v>
      </c>
      <c r="L244" s="33">
        <v>219</v>
      </c>
      <c r="M244" s="33" t="s">
        <v>52</v>
      </c>
      <c r="N244" s="44">
        <v>8.5966298051606105E-2</v>
      </c>
      <c r="O244" s="35" t="s">
        <v>39</v>
      </c>
    </row>
    <row r="245" spans="1:15" x14ac:dyDescent="0.3">
      <c r="A245" s="36" t="s">
        <v>290</v>
      </c>
      <c r="B245" s="37" t="s">
        <v>22</v>
      </c>
      <c r="C245" s="38">
        <v>45451</v>
      </c>
      <c r="D245" s="37" t="s">
        <v>23</v>
      </c>
      <c r="E245" s="37" t="s">
        <v>35</v>
      </c>
      <c r="F245" s="37"/>
      <c r="G245" s="37">
        <v>3413</v>
      </c>
      <c r="H245" s="37">
        <v>326</v>
      </c>
      <c r="I245" s="37">
        <v>86</v>
      </c>
      <c r="J245" s="37">
        <v>44680</v>
      </c>
      <c r="K245" s="37">
        <v>52719</v>
      </c>
      <c r="L245" s="37">
        <v>272</v>
      </c>
      <c r="M245" s="37" t="s">
        <v>16</v>
      </c>
      <c r="N245" s="45">
        <v>8.5608773500447599E-2</v>
      </c>
      <c r="O245" s="39" t="s">
        <v>19</v>
      </c>
    </row>
    <row r="246" spans="1:15" x14ac:dyDescent="0.3">
      <c r="A246" s="32" t="s">
        <v>290</v>
      </c>
      <c r="B246" s="33" t="s">
        <v>22</v>
      </c>
      <c r="C246" s="34">
        <v>45451</v>
      </c>
      <c r="D246" s="33" t="s">
        <v>23</v>
      </c>
      <c r="E246" s="33" t="s">
        <v>35</v>
      </c>
      <c r="F246" s="33"/>
      <c r="G246" s="33">
        <v>3413</v>
      </c>
      <c r="H246" s="33">
        <v>326</v>
      </c>
      <c r="I246" s="33">
        <v>86</v>
      </c>
      <c r="J246" s="33">
        <v>44680</v>
      </c>
      <c r="K246" s="33">
        <v>52719</v>
      </c>
      <c r="L246" s="33">
        <v>272</v>
      </c>
      <c r="M246" s="33" t="s">
        <v>16</v>
      </c>
      <c r="N246" s="44">
        <v>8.5608773500447599E-2</v>
      </c>
      <c r="O246" s="35" t="s">
        <v>355</v>
      </c>
    </row>
    <row r="247" spans="1:15" x14ac:dyDescent="0.3">
      <c r="A247" s="36" t="s">
        <v>157</v>
      </c>
      <c r="B247" s="37" t="s">
        <v>22</v>
      </c>
      <c r="C247" s="38">
        <v>45421</v>
      </c>
      <c r="D247" s="37" t="s">
        <v>23</v>
      </c>
      <c r="E247" s="37" t="s">
        <v>24</v>
      </c>
      <c r="F247" s="37"/>
      <c r="G247" s="37">
        <v>3277</v>
      </c>
      <c r="H247" s="37">
        <v>423</v>
      </c>
      <c r="I247" s="37">
        <v>259</v>
      </c>
      <c r="J247" s="37">
        <v>46328</v>
      </c>
      <c r="K247" s="37">
        <v>44293</v>
      </c>
      <c r="L247" s="37">
        <v>299</v>
      </c>
      <c r="M247" s="37" t="s">
        <v>16</v>
      </c>
      <c r="N247" s="45">
        <v>8.5455879813503693E-2</v>
      </c>
      <c r="O247" s="39" t="s">
        <v>39</v>
      </c>
    </row>
    <row r="248" spans="1:15" x14ac:dyDescent="0.3">
      <c r="A248" s="32" t="s">
        <v>157</v>
      </c>
      <c r="B248" s="33" t="s">
        <v>22</v>
      </c>
      <c r="C248" s="34">
        <v>45421</v>
      </c>
      <c r="D248" s="33" t="s">
        <v>23</v>
      </c>
      <c r="E248" s="33" t="s">
        <v>24</v>
      </c>
      <c r="F248" s="33"/>
      <c r="G248" s="33">
        <v>3277</v>
      </c>
      <c r="H248" s="33">
        <v>423</v>
      </c>
      <c r="I248" s="33">
        <v>259</v>
      </c>
      <c r="J248" s="33">
        <v>46328</v>
      </c>
      <c r="K248" s="33">
        <v>44293</v>
      </c>
      <c r="L248" s="33">
        <v>299</v>
      </c>
      <c r="M248" s="33" t="s">
        <v>16</v>
      </c>
      <c r="N248" s="44">
        <v>8.5455879813503693E-2</v>
      </c>
      <c r="O248" s="35" t="s">
        <v>36</v>
      </c>
    </row>
    <row r="249" spans="1:15" x14ac:dyDescent="0.3">
      <c r="A249" s="36" t="s">
        <v>42</v>
      </c>
      <c r="B249" s="37" t="s">
        <v>22</v>
      </c>
      <c r="C249" s="38">
        <v>45573</v>
      </c>
      <c r="D249" s="37" t="s">
        <v>14</v>
      </c>
      <c r="E249" s="37" t="s">
        <v>43</v>
      </c>
      <c r="F249" s="37"/>
      <c r="G249" s="37">
        <v>2460</v>
      </c>
      <c r="H249" s="37">
        <v>409</v>
      </c>
      <c r="I249" s="37">
        <v>253</v>
      </c>
      <c r="J249" s="37">
        <v>36702</v>
      </c>
      <c r="K249" s="37">
        <v>46122</v>
      </c>
      <c r="L249" s="37">
        <v>264</v>
      </c>
      <c r="M249" s="37" t="s">
        <v>16</v>
      </c>
      <c r="N249" s="45">
        <v>8.5063484278785906E-2</v>
      </c>
      <c r="O249" s="39" t="s">
        <v>36</v>
      </c>
    </row>
    <row r="250" spans="1:15" x14ac:dyDescent="0.3">
      <c r="A250" s="32" t="s">
        <v>320</v>
      </c>
      <c r="B250" s="33" t="s">
        <v>28</v>
      </c>
      <c r="C250" s="34">
        <v>45468</v>
      </c>
      <c r="D250" s="33" t="s">
        <v>14</v>
      </c>
      <c r="E250" s="33" t="s">
        <v>45</v>
      </c>
      <c r="F250" s="33"/>
      <c r="G250" s="33">
        <v>2172</v>
      </c>
      <c r="H250" s="33">
        <v>338</v>
      </c>
      <c r="I250" s="33">
        <v>70</v>
      </c>
      <c r="J250" s="33">
        <v>30515</v>
      </c>
      <c r="K250" s="33">
        <v>57853</v>
      </c>
      <c r="L250" s="33">
        <v>156</v>
      </c>
      <c r="M250" s="33" t="s">
        <v>20</v>
      </c>
      <c r="N250" s="44">
        <v>8.4548582664263502E-2</v>
      </c>
      <c r="O250" s="35" t="s">
        <v>19</v>
      </c>
    </row>
    <row r="251" spans="1:15" x14ac:dyDescent="0.3">
      <c r="A251" s="36" t="s">
        <v>320</v>
      </c>
      <c r="B251" s="37" t="s">
        <v>28</v>
      </c>
      <c r="C251" s="38">
        <v>45468</v>
      </c>
      <c r="D251" s="37" t="s">
        <v>14</v>
      </c>
      <c r="E251" s="37" t="s">
        <v>45</v>
      </c>
      <c r="F251" s="37"/>
      <c r="G251" s="37">
        <v>2172</v>
      </c>
      <c r="H251" s="37">
        <v>338</v>
      </c>
      <c r="I251" s="37">
        <v>70</v>
      </c>
      <c r="J251" s="37">
        <v>30515</v>
      </c>
      <c r="K251" s="37">
        <v>57853</v>
      </c>
      <c r="L251" s="37">
        <v>156</v>
      </c>
      <c r="M251" s="37" t="s">
        <v>20</v>
      </c>
      <c r="N251" s="45">
        <v>8.4548582664263502E-2</v>
      </c>
      <c r="O251" s="39" t="s">
        <v>354</v>
      </c>
    </row>
    <row r="252" spans="1:15" x14ac:dyDescent="0.3">
      <c r="A252" s="32" t="s">
        <v>202</v>
      </c>
      <c r="B252" s="33" t="s">
        <v>28</v>
      </c>
      <c r="C252" s="34">
        <v>45660</v>
      </c>
      <c r="D252" s="33" t="s">
        <v>14</v>
      </c>
      <c r="E252" s="33" t="s">
        <v>24</v>
      </c>
      <c r="F252" s="33"/>
      <c r="G252" s="33">
        <v>3782</v>
      </c>
      <c r="H252" s="33">
        <v>484</v>
      </c>
      <c r="I252" s="33">
        <v>144</v>
      </c>
      <c r="J252" s="33">
        <v>52172</v>
      </c>
      <c r="K252" s="33">
        <v>59386</v>
      </c>
      <c r="L252" s="33">
        <v>175</v>
      </c>
      <c r="M252" s="33" t="s">
        <v>20</v>
      </c>
      <c r="N252" s="44">
        <v>8.4528099363643305E-2</v>
      </c>
      <c r="O252" s="35" t="s">
        <v>19</v>
      </c>
    </row>
    <row r="253" spans="1:15" x14ac:dyDescent="0.3">
      <c r="A253" s="36" t="s">
        <v>202</v>
      </c>
      <c r="B253" s="37" t="s">
        <v>28</v>
      </c>
      <c r="C253" s="38">
        <v>45660</v>
      </c>
      <c r="D253" s="37" t="s">
        <v>14</v>
      </c>
      <c r="E253" s="37" t="s">
        <v>24</v>
      </c>
      <c r="F253" s="37"/>
      <c r="G253" s="37">
        <v>3782</v>
      </c>
      <c r="H253" s="37">
        <v>484</v>
      </c>
      <c r="I253" s="37">
        <v>144</v>
      </c>
      <c r="J253" s="37">
        <v>52172</v>
      </c>
      <c r="K253" s="37">
        <v>59386</v>
      </c>
      <c r="L253" s="37">
        <v>175</v>
      </c>
      <c r="M253" s="37" t="s">
        <v>20</v>
      </c>
      <c r="N253" s="45">
        <v>8.4528099363643305E-2</v>
      </c>
      <c r="O253" s="39" t="s">
        <v>354</v>
      </c>
    </row>
    <row r="254" spans="1:15" x14ac:dyDescent="0.3">
      <c r="A254" s="32" t="s">
        <v>38</v>
      </c>
      <c r="B254" s="33" t="s">
        <v>22</v>
      </c>
      <c r="C254" s="34">
        <v>45357</v>
      </c>
      <c r="D254" s="33" t="s">
        <v>14</v>
      </c>
      <c r="E254" s="33" t="s">
        <v>15</v>
      </c>
      <c r="F254" s="33"/>
      <c r="G254" s="33">
        <v>1971</v>
      </c>
      <c r="H254" s="33">
        <v>370</v>
      </c>
      <c r="I254" s="33">
        <v>306</v>
      </c>
      <c r="J254" s="33">
        <v>31316</v>
      </c>
      <c r="K254" s="33">
        <v>27897</v>
      </c>
      <c r="L254" s="33">
        <v>88</v>
      </c>
      <c r="M254" s="33" t="s">
        <v>20</v>
      </c>
      <c r="N254" s="44">
        <v>8.4525482181632403E-2</v>
      </c>
      <c r="O254" s="35" t="s">
        <v>39</v>
      </c>
    </row>
    <row r="255" spans="1:15" x14ac:dyDescent="0.3">
      <c r="A255" s="36" t="s">
        <v>209</v>
      </c>
      <c r="B255" s="37" t="s">
        <v>13</v>
      </c>
      <c r="C255" s="38">
        <v>45475</v>
      </c>
      <c r="D255" s="37" t="s">
        <v>14</v>
      </c>
      <c r="E255" s="37" t="s">
        <v>35</v>
      </c>
      <c r="F255" s="37"/>
      <c r="G255" s="37">
        <v>3469</v>
      </c>
      <c r="H255" s="37">
        <v>371</v>
      </c>
      <c r="I255" s="37">
        <v>76</v>
      </c>
      <c r="J255" s="37">
        <v>46493</v>
      </c>
      <c r="K255" s="37">
        <v>26906</v>
      </c>
      <c r="L255" s="37">
        <v>150</v>
      </c>
      <c r="M255" s="37" t="s">
        <v>16</v>
      </c>
      <c r="N255" s="45">
        <v>8.4227733207149505E-2</v>
      </c>
      <c r="O255" s="39" t="s">
        <v>39</v>
      </c>
    </row>
    <row r="256" spans="1:15" x14ac:dyDescent="0.3">
      <c r="A256" s="32" t="s">
        <v>209</v>
      </c>
      <c r="B256" s="33" t="s">
        <v>13</v>
      </c>
      <c r="C256" s="34">
        <v>45475</v>
      </c>
      <c r="D256" s="33" t="s">
        <v>14</v>
      </c>
      <c r="E256" s="33" t="s">
        <v>35</v>
      </c>
      <c r="F256" s="33"/>
      <c r="G256" s="33">
        <v>3469</v>
      </c>
      <c r="H256" s="33">
        <v>371</v>
      </c>
      <c r="I256" s="33">
        <v>76</v>
      </c>
      <c r="J256" s="33">
        <v>46493</v>
      </c>
      <c r="K256" s="33">
        <v>26906</v>
      </c>
      <c r="L256" s="33">
        <v>150</v>
      </c>
      <c r="M256" s="33" t="s">
        <v>16</v>
      </c>
      <c r="N256" s="44">
        <v>8.4227733207149505E-2</v>
      </c>
      <c r="O256" s="35" t="s">
        <v>36</v>
      </c>
    </row>
    <row r="257" spans="1:15" x14ac:dyDescent="0.3">
      <c r="A257" s="36" t="s">
        <v>317</v>
      </c>
      <c r="B257" s="37" t="s">
        <v>13</v>
      </c>
      <c r="C257" s="38">
        <v>45589</v>
      </c>
      <c r="D257" s="37" t="s">
        <v>23</v>
      </c>
      <c r="E257" s="37" t="s">
        <v>35</v>
      </c>
      <c r="F257" s="37"/>
      <c r="G257" s="37">
        <v>1914</v>
      </c>
      <c r="H257" s="37">
        <v>255</v>
      </c>
      <c r="I257" s="37">
        <v>156</v>
      </c>
      <c r="J257" s="37">
        <v>27660</v>
      </c>
      <c r="K257" s="37">
        <v>47776</v>
      </c>
      <c r="L257" s="37">
        <v>111</v>
      </c>
      <c r="M257" s="37" t="s">
        <v>49</v>
      </c>
      <c r="N257" s="45">
        <v>8.4056399132321005E-2</v>
      </c>
      <c r="O257" s="39" t="s">
        <v>36</v>
      </c>
    </row>
    <row r="258" spans="1:15" x14ac:dyDescent="0.3">
      <c r="A258" s="32" t="s">
        <v>310</v>
      </c>
      <c r="B258" s="33" t="s">
        <v>13</v>
      </c>
      <c r="C258" s="34">
        <v>45691</v>
      </c>
      <c r="D258" s="33" t="s">
        <v>23</v>
      </c>
      <c r="E258" s="33" t="s">
        <v>24</v>
      </c>
      <c r="F258" s="33"/>
      <c r="G258" s="33">
        <v>1205</v>
      </c>
      <c r="H258" s="33">
        <v>486</v>
      </c>
      <c r="I258" s="33">
        <v>269</v>
      </c>
      <c r="J258" s="33">
        <v>23341</v>
      </c>
      <c r="K258" s="33">
        <v>42411</v>
      </c>
      <c r="L258" s="33">
        <v>184</v>
      </c>
      <c r="M258" s="33" t="s">
        <v>49</v>
      </c>
      <c r="N258" s="44">
        <v>8.3972409065592696E-2</v>
      </c>
      <c r="O258" s="35" t="s">
        <v>36</v>
      </c>
    </row>
    <row r="259" spans="1:15" x14ac:dyDescent="0.3">
      <c r="A259" s="36" t="s">
        <v>34</v>
      </c>
      <c r="B259" s="37" t="s">
        <v>22</v>
      </c>
      <c r="C259" s="38">
        <v>45823</v>
      </c>
      <c r="D259" s="37" t="s">
        <v>14</v>
      </c>
      <c r="E259" s="37" t="s">
        <v>35</v>
      </c>
      <c r="F259" s="37"/>
      <c r="G259" s="37">
        <v>4432</v>
      </c>
      <c r="H259" s="37">
        <v>223</v>
      </c>
      <c r="I259" s="37">
        <v>299</v>
      </c>
      <c r="J259" s="37">
        <v>59016</v>
      </c>
      <c r="K259" s="37">
        <v>21742</v>
      </c>
      <c r="L259" s="37">
        <v>171</v>
      </c>
      <c r="M259" s="37" t="s">
        <v>16</v>
      </c>
      <c r="N259" s="45">
        <v>8.3943337400027102E-2</v>
      </c>
      <c r="O259" s="39" t="s">
        <v>36</v>
      </c>
    </row>
    <row r="260" spans="1:15" x14ac:dyDescent="0.3">
      <c r="A260" s="32" t="s">
        <v>293</v>
      </c>
      <c r="B260" s="33" t="s">
        <v>22</v>
      </c>
      <c r="C260" s="34">
        <v>45662</v>
      </c>
      <c r="D260" s="33" t="s">
        <v>23</v>
      </c>
      <c r="E260" s="33" t="s">
        <v>18</v>
      </c>
      <c r="F260" s="33"/>
      <c r="G260" s="33">
        <v>3341</v>
      </c>
      <c r="H260" s="33">
        <v>154</v>
      </c>
      <c r="I260" s="33">
        <v>123</v>
      </c>
      <c r="J260" s="33">
        <v>43369</v>
      </c>
      <c r="K260" s="33">
        <v>49035</v>
      </c>
      <c r="L260" s="33">
        <v>128</v>
      </c>
      <c r="M260" s="33" t="s">
        <v>16</v>
      </c>
      <c r="N260" s="44">
        <v>8.3423643616408E-2</v>
      </c>
      <c r="O260" s="35" t="s">
        <v>355</v>
      </c>
    </row>
    <row r="261" spans="1:15" x14ac:dyDescent="0.3">
      <c r="A261" s="36" t="s">
        <v>293</v>
      </c>
      <c r="B261" s="37" t="s">
        <v>22</v>
      </c>
      <c r="C261" s="38">
        <v>45662</v>
      </c>
      <c r="D261" s="37" t="s">
        <v>23</v>
      </c>
      <c r="E261" s="37" t="s">
        <v>18</v>
      </c>
      <c r="F261" s="37"/>
      <c r="G261" s="37">
        <v>3341</v>
      </c>
      <c r="H261" s="37">
        <v>154</v>
      </c>
      <c r="I261" s="37">
        <v>123</v>
      </c>
      <c r="J261" s="37">
        <v>43369</v>
      </c>
      <c r="K261" s="37">
        <v>49035</v>
      </c>
      <c r="L261" s="37">
        <v>128</v>
      </c>
      <c r="M261" s="37" t="s">
        <v>16</v>
      </c>
      <c r="N261" s="45">
        <v>8.3423643616408E-2</v>
      </c>
      <c r="O261" s="39" t="s">
        <v>36</v>
      </c>
    </row>
    <row r="262" spans="1:15" x14ac:dyDescent="0.3">
      <c r="A262" s="32" t="s">
        <v>192</v>
      </c>
      <c r="B262" s="33" t="s">
        <v>13</v>
      </c>
      <c r="C262" s="34">
        <v>45394</v>
      </c>
      <c r="D262" s="33" t="s">
        <v>23</v>
      </c>
      <c r="E262" s="33" t="s">
        <v>32</v>
      </c>
      <c r="F262" s="33"/>
      <c r="G262" s="33">
        <v>1558</v>
      </c>
      <c r="H262" s="33">
        <v>352</v>
      </c>
      <c r="I262" s="33">
        <v>202</v>
      </c>
      <c r="J262" s="33">
        <v>25405</v>
      </c>
      <c r="K262" s="33">
        <v>69941</v>
      </c>
      <c r="L262" s="33">
        <v>219</v>
      </c>
      <c r="M262" s="33" t="s">
        <v>49</v>
      </c>
      <c r="N262" s="44">
        <v>8.3133241487896095E-2</v>
      </c>
      <c r="O262" s="35" t="s">
        <v>36</v>
      </c>
    </row>
    <row r="263" spans="1:15" x14ac:dyDescent="0.3">
      <c r="A263" s="36" t="s">
        <v>134</v>
      </c>
      <c r="B263" s="37" t="s">
        <v>22</v>
      </c>
      <c r="C263" s="38">
        <v>45577</v>
      </c>
      <c r="D263" s="37" t="s">
        <v>14</v>
      </c>
      <c r="E263" s="37" t="s">
        <v>32</v>
      </c>
      <c r="F263" s="37"/>
      <c r="G263" s="37">
        <v>3169</v>
      </c>
      <c r="H263" s="37">
        <v>386</v>
      </c>
      <c r="I263" s="37">
        <v>175</v>
      </c>
      <c r="J263" s="37">
        <v>45012</v>
      </c>
      <c r="K263" s="37">
        <v>38508</v>
      </c>
      <c r="L263" s="37">
        <v>218</v>
      </c>
      <c r="M263" s="37" t="s">
        <v>16</v>
      </c>
      <c r="N263" s="45">
        <v>8.2866791077934807E-2</v>
      </c>
      <c r="O263" s="39" t="s">
        <v>36</v>
      </c>
    </row>
    <row r="264" spans="1:15" x14ac:dyDescent="0.3">
      <c r="A264" s="32" t="s">
        <v>248</v>
      </c>
      <c r="B264" s="33" t="s">
        <v>28</v>
      </c>
      <c r="C264" s="34">
        <v>45672</v>
      </c>
      <c r="D264" s="33" t="s">
        <v>14</v>
      </c>
      <c r="E264" s="33" t="s">
        <v>45</v>
      </c>
      <c r="F264" s="33"/>
      <c r="G264" s="33">
        <v>2599</v>
      </c>
      <c r="H264" s="33">
        <v>324</v>
      </c>
      <c r="I264" s="33">
        <v>182</v>
      </c>
      <c r="J264" s="33">
        <v>37525</v>
      </c>
      <c r="K264" s="33">
        <v>37216</v>
      </c>
      <c r="L264" s="33">
        <v>186</v>
      </c>
      <c r="M264" s="33" t="s">
        <v>20</v>
      </c>
      <c r="N264" s="44">
        <v>8.2744836775482999E-2</v>
      </c>
      <c r="O264" s="35" t="s">
        <v>19</v>
      </c>
    </row>
    <row r="265" spans="1:15" x14ac:dyDescent="0.3">
      <c r="A265" s="36" t="s">
        <v>248</v>
      </c>
      <c r="B265" s="37" t="s">
        <v>28</v>
      </c>
      <c r="C265" s="38">
        <v>45672</v>
      </c>
      <c r="D265" s="37" t="s">
        <v>14</v>
      </c>
      <c r="E265" s="37" t="s">
        <v>45</v>
      </c>
      <c r="F265" s="37"/>
      <c r="G265" s="37">
        <v>2599</v>
      </c>
      <c r="H265" s="37">
        <v>324</v>
      </c>
      <c r="I265" s="37">
        <v>182</v>
      </c>
      <c r="J265" s="37">
        <v>37525</v>
      </c>
      <c r="K265" s="37">
        <v>37216</v>
      </c>
      <c r="L265" s="37">
        <v>186</v>
      </c>
      <c r="M265" s="37" t="s">
        <v>20</v>
      </c>
      <c r="N265" s="45">
        <v>8.2744836775482999E-2</v>
      </c>
      <c r="O265" s="39" t="s">
        <v>354</v>
      </c>
    </row>
    <row r="266" spans="1:15" x14ac:dyDescent="0.3">
      <c r="A266" s="32" t="s">
        <v>236</v>
      </c>
      <c r="B266" s="33" t="s">
        <v>13</v>
      </c>
      <c r="C266" s="34">
        <v>45571</v>
      </c>
      <c r="D266" s="33" t="s">
        <v>14</v>
      </c>
      <c r="E266" s="33" t="s">
        <v>35</v>
      </c>
      <c r="F266" s="33"/>
      <c r="G266" s="33">
        <v>2080</v>
      </c>
      <c r="H266" s="33">
        <v>389</v>
      </c>
      <c r="I266" s="33">
        <v>92</v>
      </c>
      <c r="J266" s="33">
        <v>30971</v>
      </c>
      <c r="K266" s="33">
        <v>25347</v>
      </c>
      <c r="L266" s="33">
        <v>111</v>
      </c>
      <c r="M266" s="33" t="s">
        <v>20</v>
      </c>
      <c r="N266" s="44">
        <v>8.26902586290401E-2</v>
      </c>
      <c r="O266" s="35" t="s">
        <v>19</v>
      </c>
    </row>
    <row r="267" spans="1:15" x14ac:dyDescent="0.3">
      <c r="A267" s="36" t="s">
        <v>186</v>
      </c>
      <c r="B267" s="37" t="s">
        <v>22</v>
      </c>
      <c r="C267" s="38">
        <v>45819</v>
      </c>
      <c r="D267" s="37" t="s">
        <v>23</v>
      </c>
      <c r="E267" s="37" t="s">
        <v>18</v>
      </c>
      <c r="F267" s="37"/>
      <c r="G267" s="37">
        <v>3805</v>
      </c>
      <c r="H267" s="37">
        <v>453</v>
      </c>
      <c r="I267" s="37">
        <v>63</v>
      </c>
      <c r="J267" s="37">
        <v>52395</v>
      </c>
      <c r="K267" s="37">
        <v>72934</v>
      </c>
      <c r="L267" s="37">
        <v>87</v>
      </c>
      <c r="M267" s="37" t="s">
        <v>16</v>
      </c>
      <c r="N267" s="45">
        <v>8.2469701307376603E-2</v>
      </c>
      <c r="O267" s="39" t="s">
        <v>19</v>
      </c>
    </row>
    <row r="268" spans="1:15" x14ac:dyDescent="0.3">
      <c r="A268" s="32" t="s">
        <v>186</v>
      </c>
      <c r="B268" s="33" t="s">
        <v>22</v>
      </c>
      <c r="C268" s="34">
        <v>45819</v>
      </c>
      <c r="D268" s="33" t="s">
        <v>23</v>
      </c>
      <c r="E268" s="33" t="s">
        <v>18</v>
      </c>
      <c r="F268" s="33"/>
      <c r="G268" s="33">
        <v>3805</v>
      </c>
      <c r="H268" s="33">
        <v>453</v>
      </c>
      <c r="I268" s="33">
        <v>63</v>
      </c>
      <c r="J268" s="33">
        <v>52395</v>
      </c>
      <c r="K268" s="33">
        <v>72934</v>
      </c>
      <c r="L268" s="33">
        <v>87</v>
      </c>
      <c r="M268" s="33" t="s">
        <v>16</v>
      </c>
      <c r="N268" s="44">
        <v>8.2469701307376603E-2</v>
      </c>
      <c r="O268" s="35" t="s">
        <v>355</v>
      </c>
    </row>
    <row r="269" spans="1:15" x14ac:dyDescent="0.3">
      <c r="A269" s="36" t="s">
        <v>61</v>
      </c>
      <c r="B269" s="37" t="s">
        <v>28</v>
      </c>
      <c r="C269" s="38">
        <v>45356</v>
      </c>
      <c r="D269" s="37" t="s">
        <v>51</v>
      </c>
      <c r="E269" s="37" t="s">
        <v>18</v>
      </c>
      <c r="F269" s="37"/>
      <c r="G269" s="37">
        <v>3558</v>
      </c>
      <c r="H269" s="37">
        <v>314</v>
      </c>
      <c r="I269" s="37">
        <v>199</v>
      </c>
      <c r="J269" s="37">
        <v>49612</v>
      </c>
      <c r="K269" s="37">
        <v>53929</v>
      </c>
      <c r="L269" s="37">
        <v>206</v>
      </c>
      <c r="M269" s="37" t="s">
        <v>52</v>
      </c>
      <c r="N269" s="45">
        <v>8.2056760461178699E-2</v>
      </c>
      <c r="O269" s="39" t="s">
        <v>19</v>
      </c>
    </row>
    <row r="270" spans="1:15" x14ac:dyDescent="0.3">
      <c r="A270" s="32" t="s">
        <v>61</v>
      </c>
      <c r="B270" s="33" t="s">
        <v>28</v>
      </c>
      <c r="C270" s="34">
        <v>45356</v>
      </c>
      <c r="D270" s="33" t="s">
        <v>51</v>
      </c>
      <c r="E270" s="33" t="s">
        <v>18</v>
      </c>
      <c r="F270" s="33"/>
      <c r="G270" s="33">
        <v>3558</v>
      </c>
      <c r="H270" s="33">
        <v>314</v>
      </c>
      <c r="I270" s="33">
        <v>199</v>
      </c>
      <c r="J270" s="33">
        <v>49612</v>
      </c>
      <c r="K270" s="33">
        <v>53929</v>
      </c>
      <c r="L270" s="33">
        <v>206</v>
      </c>
      <c r="M270" s="33" t="s">
        <v>52</v>
      </c>
      <c r="N270" s="44">
        <v>8.2056760461178699E-2</v>
      </c>
      <c r="O270" s="35" t="s">
        <v>39</v>
      </c>
    </row>
    <row r="271" spans="1:15" x14ac:dyDescent="0.3">
      <c r="A271" s="36" t="s">
        <v>269</v>
      </c>
      <c r="B271" s="37" t="s">
        <v>13</v>
      </c>
      <c r="C271" s="38">
        <v>45646</v>
      </c>
      <c r="D271" s="37" t="s">
        <v>14</v>
      </c>
      <c r="E271" s="37" t="s">
        <v>15</v>
      </c>
      <c r="F271" s="37"/>
      <c r="G271" s="37">
        <v>2519</v>
      </c>
      <c r="H271" s="37">
        <v>202</v>
      </c>
      <c r="I271" s="37">
        <v>239</v>
      </c>
      <c r="J271" s="37">
        <v>36245</v>
      </c>
      <c r="K271" s="37">
        <v>48606</v>
      </c>
      <c r="L271" s="37">
        <v>145</v>
      </c>
      <c r="M271" s="37" t="s">
        <v>20</v>
      </c>
      <c r="N271" s="45">
        <v>8.1666436749896598E-2</v>
      </c>
      <c r="O271" s="39" t="s">
        <v>19</v>
      </c>
    </row>
    <row r="272" spans="1:15" x14ac:dyDescent="0.3">
      <c r="A272" s="32" t="s">
        <v>105</v>
      </c>
      <c r="B272" s="33" t="s">
        <v>13</v>
      </c>
      <c r="C272" s="34">
        <v>45576</v>
      </c>
      <c r="D272" s="33" t="s">
        <v>14</v>
      </c>
      <c r="E272" s="33" t="s">
        <v>43</v>
      </c>
      <c r="F272" s="33"/>
      <c r="G272" s="33">
        <v>1360</v>
      </c>
      <c r="H272" s="33">
        <v>249</v>
      </c>
      <c r="I272" s="33">
        <v>52</v>
      </c>
      <c r="J272" s="33">
        <v>20368</v>
      </c>
      <c r="K272" s="33">
        <v>42152</v>
      </c>
      <c r="L272" s="33">
        <v>193</v>
      </c>
      <c r="M272" s="33" t="s">
        <v>20</v>
      </c>
      <c r="N272" s="44">
        <v>8.1549489395129598E-2</v>
      </c>
      <c r="O272" s="35" t="s">
        <v>19</v>
      </c>
    </row>
    <row r="273" spans="1:15" x14ac:dyDescent="0.3">
      <c r="A273" s="36" t="s">
        <v>179</v>
      </c>
      <c r="B273" s="37" t="s">
        <v>13</v>
      </c>
      <c r="C273" s="38">
        <v>45799</v>
      </c>
      <c r="D273" s="37" t="s">
        <v>14</v>
      </c>
      <c r="E273" s="37" t="s">
        <v>15</v>
      </c>
      <c r="F273" s="37"/>
      <c r="G273" s="37">
        <v>2633</v>
      </c>
      <c r="H273" s="37">
        <v>318</v>
      </c>
      <c r="I273" s="37">
        <v>380</v>
      </c>
      <c r="J273" s="37">
        <v>40869</v>
      </c>
      <c r="K273" s="37">
        <v>64474</v>
      </c>
      <c r="L273" s="37">
        <v>245</v>
      </c>
      <c r="M273" s="37" t="s">
        <v>20</v>
      </c>
      <c r="N273" s="45">
        <v>8.1504318676747706E-2</v>
      </c>
      <c r="O273" s="39" t="s">
        <v>19</v>
      </c>
    </row>
    <row r="274" spans="1:15" x14ac:dyDescent="0.3">
      <c r="A274" s="32" t="s">
        <v>182</v>
      </c>
      <c r="B274" s="33" t="s">
        <v>22</v>
      </c>
      <c r="C274" s="34">
        <v>45760</v>
      </c>
      <c r="D274" s="33" t="s">
        <v>14</v>
      </c>
      <c r="E274" s="33" t="s">
        <v>43</v>
      </c>
      <c r="F274" s="33"/>
      <c r="G274" s="33">
        <v>3890</v>
      </c>
      <c r="H274" s="33">
        <v>408</v>
      </c>
      <c r="I274" s="33">
        <v>338</v>
      </c>
      <c r="J274" s="33">
        <v>56994</v>
      </c>
      <c r="K274" s="33">
        <v>32621</v>
      </c>
      <c r="L274" s="33">
        <v>286</v>
      </c>
      <c r="M274" s="33" t="s">
        <v>20</v>
      </c>
      <c r="N274" s="44">
        <v>8.1341895638137401E-2</v>
      </c>
      <c r="O274" s="35" t="s">
        <v>39</v>
      </c>
    </row>
    <row r="275" spans="1:15" x14ac:dyDescent="0.3">
      <c r="A275" s="36" t="s">
        <v>58</v>
      </c>
      <c r="B275" s="37" t="s">
        <v>28</v>
      </c>
      <c r="C275" s="38">
        <v>45575</v>
      </c>
      <c r="D275" s="37" t="s">
        <v>51</v>
      </c>
      <c r="E275" s="37" t="s">
        <v>43</v>
      </c>
      <c r="F275" s="37"/>
      <c r="G275" s="37">
        <v>4013</v>
      </c>
      <c r="H275" s="37">
        <v>320</v>
      </c>
      <c r="I275" s="37">
        <v>92</v>
      </c>
      <c r="J275" s="37">
        <v>54605</v>
      </c>
      <c r="K275" s="37">
        <v>60169</v>
      </c>
      <c r="L275" s="37">
        <v>232</v>
      </c>
      <c r="M275" s="37" t="s">
        <v>52</v>
      </c>
      <c r="N275" s="45">
        <v>8.1036535115831906E-2</v>
      </c>
      <c r="O275" s="39" t="s">
        <v>19</v>
      </c>
    </row>
    <row r="276" spans="1:15" x14ac:dyDescent="0.3">
      <c r="A276" s="32" t="s">
        <v>58</v>
      </c>
      <c r="B276" s="33" t="s">
        <v>28</v>
      </c>
      <c r="C276" s="34">
        <v>45575</v>
      </c>
      <c r="D276" s="33" t="s">
        <v>51</v>
      </c>
      <c r="E276" s="33" t="s">
        <v>43</v>
      </c>
      <c r="F276" s="33"/>
      <c r="G276" s="33">
        <v>4013</v>
      </c>
      <c r="H276" s="33">
        <v>320</v>
      </c>
      <c r="I276" s="33">
        <v>92</v>
      </c>
      <c r="J276" s="33">
        <v>54605</v>
      </c>
      <c r="K276" s="33">
        <v>60169</v>
      </c>
      <c r="L276" s="33">
        <v>232</v>
      </c>
      <c r="M276" s="33" t="s">
        <v>52</v>
      </c>
      <c r="N276" s="44">
        <v>8.1036535115831906E-2</v>
      </c>
      <c r="O276" s="35" t="s">
        <v>39</v>
      </c>
    </row>
    <row r="277" spans="1:15" x14ac:dyDescent="0.3">
      <c r="A277" s="36" t="s">
        <v>266</v>
      </c>
      <c r="B277" s="37" t="s">
        <v>22</v>
      </c>
      <c r="C277" s="38">
        <v>45585</v>
      </c>
      <c r="D277" s="37" t="s">
        <v>14</v>
      </c>
      <c r="E277" s="37" t="s">
        <v>43</v>
      </c>
      <c r="F277" s="37"/>
      <c r="G277" s="37">
        <v>2752</v>
      </c>
      <c r="H277" s="37">
        <v>309</v>
      </c>
      <c r="I277" s="37">
        <v>91</v>
      </c>
      <c r="J277" s="37">
        <v>39038</v>
      </c>
      <c r="K277" s="37">
        <v>28095</v>
      </c>
      <c r="L277" s="37">
        <v>277</v>
      </c>
      <c r="M277" s="37" t="s">
        <v>16</v>
      </c>
      <c r="N277" s="45">
        <v>8.0741841282852597E-2</v>
      </c>
      <c r="O277" s="39" t="s">
        <v>36</v>
      </c>
    </row>
    <row r="278" spans="1:15" x14ac:dyDescent="0.3">
      <c r="A278" s="32" t="s">
        <v>64</v>
      </c>
      <c r="B278" s="33" t="s">
        <v>13</v>
      </c>
      <c r="C278" s="34">
        <v>45658</v>
      </c>
      <c r="D278" s="33" t="s">
        <v>14</v>
      </c>
      <c r="E278" s="33" t="s">
        <v>24</v>
      </c>
      <c r="F278" s="33"/>
      <c r="G278" s="33">
        <v>4036</v>
      </c>
      <c r="H278" s="33">
        <v>112</v>
      </c>
      <c r="I278" s="33">
        <v>382</v>
      </c>
      <c r="J278" s="33">
        <v>56284</v>
      </c>
      <c r="K278" s="33">
        <v>29440</v>
      </c>
      <c r="L278" s="33">
        <v>279</v>
      </c>
      <c r="M278" s="33" t="s">
        <v>16</v>
      </c>
      <c r="N278" s="44">
        <v>8.0484684812735394E-2</v>
      </c>
      <c r="O278" s="35" t="s">
        <v>39</v>
      </c>
    </row>
    <row r="279" spans="1:15" x14ac:dyDescent="0.3">
      <c r="A279" s="36" t="s">
        <v>64</v>
      </c>
      <c r="B279" s="37" t="s">
        <v>13</v>
      </c>
      <c r="C279" s="38">
        <v>45658</v>
      </c>
      <c r="D279" s="37" t="s">
        <v>14</v>
      </c>
      <c r="E279" s="37" t="s">
        <v>24</v>
      </c>
      <c r="F279" s="37"/>
      <c r="G279" s="37">
        <v>4036</v>
      </c>
      <c r="H279" s="37">
        <v>112</v>
      </c>
      <c r="I279" s="37">
        <v>382</v>
      </c>
      <c r="J279" s="37">
        <v>56284</v>
      </c>
      <c r="K279" s="37">
        <v>29440</v>
      </c>
      <c r="L279" s="37">
        <v>279</v>
      </c>
      <c r="M279" s="37" t="s">
        <v>16</v>
      </c>
      <c r="N279" s="45">
        <v>8.0484684812735394E-2</v>
      </c>
      <c r="O279" s="39" t="s">
        <v>36</v>
      </c>
    </row>
    <row r="280" spans="1:15" x14ac:dyDescent="0.3">
      <c r="A280" s="32" t="s">
        <v>253</v>
      </c>
      <c r="B280" s="33" t="s">
        <v>28</v>
      </c>
      <c r="C280" s="34">
        <v>45636</v>
      </c>
      <c r="D280" s="33" t="s">
        <v>14</v>
      </c>
      <c r="E280" s="33" t="s">
        <v>360</v>
      </c>
      <c r="F280" s="33" t="s">
        <v>361</v>
      </c>
      <c r="G280" s="33">
        <v>2569</v>
      </c>
      <c r="H280" s="33">
        <v>140</v>
      </c>
      <c r="I280" s="33">
        <v>375</v>
      </c>
      <c r="J280" s="33">
        <v>38372</v>
      </c>
      <c r="K280" s="33">
        <v>22102</v>
      </c>
      <c r="L280" s="33">
        <v>255</v>
      </c>
      <c r="M280" s="33" t="s">
        <v>20</v>
      </c>
      <c r="N280" s="44">
        <v>8.0371103929948895E-2</v>
      </c>
      <c r="O280" s="35" t="s">
        <v>19</v>
      </c>
    </row>
    <row r="281" spans="1:15" x14ac:dyDescent="0.3">
      <c r="A281" s="36" t="s">
        <v>253</v>
      </c>
      <c r="B281" s="37" t="s">
        <v>28</v>
      </c>
      <c r="C281" s="38">
        <v>45636</v>
      </c>
      <c r="D281" s="37" t="s">
        <v>14</v>
      </c>
      <c r="E281" s="37" t="s">
        <v>360</v>
      </c>
      <c r="F281" s="37" t="s">
        <v>361</v>
      </c>
      <c r="G281" s="37">
        <v>2569</v>
      </c>
      <c r="H281" s="37">
        <v>140</v>
      </c>
      <c r="I281" s="37">
        <v>375</v>
      </c>
      <c r="J281" s="37">
        <v>38372</v>
      </c>
      <c r="K281" s="37">
        <v>22102</v>
      </c>
      <c r="L281" s="37">
        <v>255</v>
      </c>
      <c r="M281" s="37" t="s">
        <v>20</v>
      </c>
      <c r="N281" s="45">
        <v>8.0371103929948895E-2</v>
      </c>
      <c r="O281" s="39" t="s">
        <v>354</v>
      </c>
    </row>
    <row r="282" spans="1:15" x14ac:dyDescent="0.3">
      <c r="A282" s="32" t="s">
        <v>56</v>
      </c>
      <c r="B282" s="33" t="s">
        <v>28</v>
      </c>
      <c r="C282" s="34">
        <v>45452</v>
      </c>
      <c r="D282" s="33" t="s">
        <v>51</v>
      </c>
      <c r="E282" s="33" t="s">
        <v>43</v>
      </c>
      <c r="F282" s="33"/>
      <c r="G282" s="33">
        <v>2786</v>
      </c>
      <c r="H282" s="33">
        <v>368</v>
      </c>
      <c r="I282" s="33">
        <v>208</v>
      </c>
      <c r="J282" s="33">
        <v>42000</v>
      </c>
      <c r="K282" s="33">
        <v>39967</v>
      </c>
      <c r="L282" s="33">
        <v>103</v>
      </c>
      <c r="M282" s="33" t="s">
        <v>52</v>
      </c>
      <c r="N282" s="44">
        <v>8.0047619047619006E-2</v>
      </c>
      <c r="O282" s="35" t="s">
        <v>19</v>
      </c>
    </row>
    <row r="283" spans="1:15" x14ac:dyDescent="0.3">
      <c r="A283" s="36" t="s">
        <v>56</v>
      </c>
      <c r="B283" s="37" t="s">
        <v>28</v>
      </c>
      <c r="C283" s="38">
        <v>45452</v>
      </c>
      <c r="D283" s="37" t="s">
        <v>51</v>
      </c>
      <c r="E283" s="37" t="s">
        <v>43</v>
      </c>
      <c r="F283" s="37"/>
      <c r="G283" s="37">
        <v>2786</v>
      </c>
      <c r="H283" s="37">
        <v>368</v>
      </c>
      <c r="I283" s="37">
        <v>208</v>
      </c>
      <c r="J283" s="37">
        <v>42000</v>
      </c>
      <c r="K283" s="37">
        <v>39967</v>
      </c>
      <c r="L283" s="37">
        <v>103</v>
      </c>
      <c r="M283" s="37" t="s">
        <v>52</v>
      </c>
      <c r="N283" s="45">
        <v>8.0047619047619006E-2</v>
      </c>
      <c r="O283" s="39" t="s">
        <v>39</v>
      </c>
    </row>
    <row r="284" spans="1:15" x14ac:dyDescent="0.3">
      <c r="A284" s="32" t="s">
        <v>162</v>
      </c>
      <c r="B284" s="33" t="s">
        <v>22</v>
      </c>
      <c r="C284" s="34">
        <v>45839</v>
      </c>
      <c r="D284" s="33" t="s">
        <v>23</v>
      </c>
      <c r="E284" s="33" t="s">
        <v>18</v>
      </c>
      <c r="F284" s="33"/>
      <c r="G284" s="33">
        <v>3219</v>
      </c>
      <c r="H284" s="33">
        <v>424</v>
      </c>
      <c r="I284" s="33">
        <v>267</v>
      </c>
      <c r="J284" s="33">
        <v>48879</v>
      </c>
      <c r="K284" s="33">
        <v>37691</v>
      </c>
      <c r="L284" s="33">
        <v>224</v>
      </c>
      <c r="M284" s="33" t="s">
        <v>16</v>
      </c>
      <c r="N284" s="44">
        <v>7.9993453221219799E-2</v>
      </c>
      <c r="O284" s="35" t="s">
        <v>19</v>
      </c>
    </row>
    <row r="285" spans="1:15" x14ac:dyDescent="0.3">
      <c r="A285" s="36" t="s">
        <v>162</v>
      </c>
      <c r="B285" s="37" t="s">
        <v>22</v>
      </c>
      <c r="C285" s="38">
        <v>45839</v>
      </c>
      <c r="D285" s="37" t="s">
        <v>23</v>
      </c>
      <c r="E285" s="37" t="s">
        <v>18</v>
      </c>
      <c r="F285" s="37"/>
      <c r="G285" s="37">
        <v>3219</v>
      </c>
      <c r="H285" s="37">
        <v>424</v>
      </c>
      <c r="I285" s="37">
        <v>267</v>
      </c>
      <c r="J285" s="37">
        <v>48879</v>
      </c>
      <c r="K285" s="37">
        <v>37691</v>
      </c>
      <c r="L285" s="37">
        <v>224</v>
      </c>
      <c r="M285" s="37" t="s">
        <v>16</v>
      </c>
      <c r="N285" s="45">
        <v>7.9993453221219799E-2</v>
      </c>
      <c r="O285" s="39" t="s">
        <v>355</v>
      </c>
    </row>
    <row r="286" spans="1:15" x14ac:dyDescent="0.3">
      <c r="A286" s="32" t="s">
        <v>239</v>
      </c>
      <c r="B286" s="33" t="s">
        <v>22</v>
      </c>
      <c r="C286" s="34">
        <v>45525</v>
      </c>
      <c r="D286" s="33" t="s">
        <v>23</v>
      </c>
      <c r="E286" s="33" t="s">
        <v>18</v>
      </c>
      <c r="F286" s="33"/>
      <c r="G286" s="33">
        <v>3989</v>
      </c>
      <c r="H286" s="33">
        <v>476</v>
      </c>
      <c r="I286" s="33">
        <v>128</v>
      </c>
      <c r="J286" s="33">
        <v>57569</v>
      </c>
      <c r="K286" s="33">
        <v>40193</v>
      </c>
      <c r="L286" s="33">
        <v>222</v>
      </c>
      <c r="M286" s="33" t="s">
        <v>16</v>
      </c>
      <c r="N286" s="44">
        <v>7.9782521843353202E-2</v>
      </c>
      <c r="O286" s="35" t="s">
        <v>19</v>
      </c>
    </row>
    <row r="287" spans="1:15" x14ac:dyDescent="0.3">
      <c r="A287" s="36" t="s">
        <v>239</v>
      </c>
      <c r="B287" s="37" t="s">
        <v>22</v>
      </c>
      <c r="C287" s="38">
        <v>45525</v>
      </c>
      <c r="D287" s="37" t="s">
        <v>23</v>
      </c>
      <c r="E287" s="37" t="s">
        <v>18</v>
      </c>
      <c r="F287" s="37"/>
      <c r="G287" s="37">
        <v>3989</v>
      </c>
      <c r="H287" s="37">
        <v>476</v>
      </c>
      <c r="I287" s="37">
        <v>128</v>
      </c>
      <c r="J287" s="37">
        <v>57569</v>
      </c>
      <c r="K287" s="37">
        <v>40193</v>
      </c>
      <c r="L287" s="37">
        <v>222</v>
      </c>
      <c r="M287" s="37" t="s">
        <v>16</v>
      </c>
      <c r="N287" s="45">
        <v>7.9782521843353202E-2</v>
      </c>
      <c r="O287" s="39" t="s">
        <v>355</v>
      </c>
    </row>
    <row r="288" spans="1:15" x14ac:dyDescent="0.3">
      <c r="A288" s="32" t="s">
        <v>125</v>
      </c>
      <c r="B288" s="33" t="s">
        <v>28</v>
      </c>
      <c r="C288" s="34">
        <v>45376</v>
      </c>
      <c r="D288" s="33" t="s">
        <v>51</v>
      </c>
      <c r="E288" s="33" t="s">
        <v>18</v>
      </c>
      <c r="F288" s="33"/>
      <c r="G288" s="33">
        <v>1948</v>
      </c>
      <c r="H288" s="33">
        <v>155</v>
      </c>
      <c r="I288" s="33">
        <v>315</v>
      </c>
      <c r="J288" s="33">
        <v>30321</v>
      </c>
      <c r="K288" s="33">
        <v>57121</v>
      </c>
      <c r="L288" s="33">
        <v>82</v>
      </c>
      <c r="M288" s="33" t="s">
        <v>52</v>
      </c>
      <c r="N288" s="44">
        <v>7.9746710200850904E-2</v>
      </c>
      <c r="O288" s="35" t="s">
        <v>19</v>
      </c>
    </row>
    <row r="289" spans="1:15" x14ac:dyDescent="0.3">
      <c r="A289" s="36" t="s">
        <v>125</v>
      </c>
      <c r="B289" s="37" t="s">
        <v>28</v>
      </c>
      <c r="C289" s="38">
        <v>45376</v>
      </c>
      <c r="D289" s="37" t="s">
        <v>51</v>
      </c>
      <c r="E289" s="37" t="s">
        <v>18</v>
      </c>
      <c r="F289" s="37"/>
      <c r="G289" s="37">
        <v>1948</v>
      </c>
      <c r="H289" s="37">
        <v>155</v>
      </c>
      <c r="I289" s="37">
        <v>315</v>
      </c>
      <c r="J289" s="37">
        <v>30321</v>
      </c>
      <c r="K289" s="37">
        <v>57121</v>
      </c>
      <c r="L289" s="37">
        <v>82</v>
      </c>
      <c r="M289" s="37" t="s">
        <v>52</v>
      </c>
      <c r="N289" s="45">
        <v>7.9746710200850904E-2</v>
      </c>
      <c r="O289" s="39" t="s">
        <v>39</v>
      </c>
    </row>
    <row r="290" spans="1:15" x14ac:dyDescent="0.3">
      <c r="A290" s="32" t="s">
        <v>124</v>
      </c>
      <c r="B290" s="33" t="s">
        <v>22</v>
      </c>
      <c r="C290" s="34">
        <v>45774</v>
      </c>
      <c r="D290" s="33" t="s">
        <v>14</v>
      </c>
      <c r="E290" s="33" t="s">
        <v>18</v>
      </c>
      <c r="F290" s="33"/>
      <c r="G290" s="33">
        <v>1165</v>
      </c>
      <c r="H290" s="33">
        <v>294</v>
      </c>
      <c r="I290" s="33">
        <v>163</v>
      </c>
      <c r="J290" s="33">
        <v>20659</v>
      </c>
      <c r="K290" s="33">
        <v>45926</v>
      </c>
      <c r="L290" s="33">
        <v>111</v>
      </c>
      <c r="M290" s="33" t="s">
        <v>20</v>
      </c>
      <c r="N290" s="44">
        <v>7.8512996756861395E-2</v>
      </c>
      <c r="O290" s="35" t="s">
        <v>39</v>
      </c>
    </row>
    <row r="291" spans="1:15" x14ac:dyDescent="0.3">
      <c r="A291" s="36" t="s">
        <v>213</v>
      </c>
      <c r="B291" s="37" t="s">
        <v>22</v>
      </c>
      <c r="C291" s="38">
        <v>45777</v>
      </c>
      <c r="D291" s="37" t="s">
        <v>23</v>
      </c>
      <c r="E291" s="37" t="s">
        <v>26</v>
      </c>
      <c r="F291" s="37"/>
      <c r="G291" s="37">
        <v>3929</v>
      </c>
      <c r="H291" s="37">
        <v>275</v>
      </c>
      <c r="I291" s="37">
        <v>330</v>
      </c>
      <c r="J291" s="37">
        <v>58329</v>
      </c>
      <c r="K291" s="37">
        <v>33196</v>
      </c>
      <c r="L291" s="37">
        <v>85</v>
      </c>
      <c r="M291" s="37" t="s">
        <v>16</v>
      </c>
      <c r="N291" s="45">
        <v>7.7731488624869297E-2</v>
      </c>
      <c r="O291" s="39" t="s">
        <v>355</v>
      </c>
    </row>
    <row r="292" spans="1:15" x14ac:dyDescent="0.3">
      <c r="A292" s="32" t="s">
        <v>213</v>
      </c>
      <c r="B292" s="33" t="s">
        <v>22</v>
      </c>
      <c r="C292" s="34">
        <v>45777</v>
      </c>
      <c r="D292" s="33" t="s">
        <v>23</v>
      </c>
      <c r="E292" s="33" t="s">
        <v>26</v>
      </c>
      <c r="F292" s="33"/>
      <c r="G292" s="33">
        <v>3929</v>
      </c>
      <c r="H292" s="33">
        <v>275</v>
      </c>
      <c r="I292" s="33">
        <v>330</v>
      </c>
      <c r="J292" s="33">
        <v>58329</v>
      </c>
      <c r="K292" s="33">
        <v>33196</v>
      </c>
      <c r="L292" s="33">
        <v>85</v>
      </c>
      <c r="M292" s="33" t="s">
        <v>16</v>
      </c>
      <c r="N292" s="44">
        <v>7.7731488624869297E-2</v>
      </c>
      <c r="O292" s="35" t="s">
        <v>36</v>
      </c>
    </row>
    <row r="293" spans="1:15" x14ac:dyDescent="0.3">
      <c r="A293" s="36" t="s">
        <v>238</v>
      </c>
      <c r="B293" s="37" t="s">
        <v>22</v>
      </c>
      <c r="C293" s="38">
        <v>45763</v>
      </c>
      <c r="D293" s="37" t="s">
        <v>14</v>
      </c>
      <c r="E293" s="37" t="s">
        <v>26</v>
      </c>
      <c r="F293" s="37"/>
      <c r="G293" s="37">
        <v>3792</v>
      </c>
      <c r="H293" s="37">
        <v>315</v>
      </c>
      <c r="I293" s="37">
        <v>120</v>
      </c>
      <c r="J293" s="37">
        <v>54592</v>
      </c>
      <c r="K293" s="37">
        <v>67886</v>
      </c>
      <c r="L293" s="37">
        <v>117</v>
      </c>
      <c r="M293" s="37" t="s">
        <v>20</v>
      </c>
      <c r="N293" s="45">
        <v>7.7428927315357596E-2</v>
      </c>
      <c r="O293" s="39" t="s">
        <v>39</v>
      </c>
    </row>
    <row r="294" spans="1:15" x14ac:dyDescent="0.3">
      <c r="A294" s="32" t="s">
        <v>242</v>
      </c>
      <c r="B294" s="33" t="s">
        <v>22</v>
      </c>
      <c r="C294" s="34">
        <v>45492</v>
      </c>
      <c r="D294" s="33" t="s">
        <v>23</v>
      </c>
      <c r="E294" s="33" t="s">
        <v>360</v>
      </c>
      <c r="F294" s="33" t="s">
        <v>361</v>
      </c>
      <c r="G294" s="33">
        <v>3071</v>
      </c>
      <c r="H294" s="33">
        <v>126</v>
      </c>
      <c r="I294" s="33">
        <v>200</v>
      </c>
      <c r="J294" s="33">
        <v>44013</v>
      </c>
      <c r="K294" s="33">
        <v>44679</v>
      </c>
      <c r="L294" s="33">
        <v>118</v>
      </c>
      <c r="M294" s="33" t="s">
        <v>16</v>
      </c>
      <c r="N294" s="44">
        <v>7.7181741758116901E-2</v>
      </c>
      <c r="O294" s="35" t="s">
        <v>19</v>
      </c>
    </row>
    <row r="295" spans="1:15" x14ac:dyDescent="0.3">
      <c r="A295" s="36" t="s">
        <v>242</v>
      </c>
      <c r="B295" s="37" t="s">
        <v>22</v>
      </c>
      <c r="C295" s="38">
        <v>45492</v>
      </c>
      <c r="D295" s="37" t="s">
        <v>23</v>
      </c>
      <c r="E295" s="37" t="s">
        <v>360</v>
      </c>
      <c r="F295" s="37" t="s">
        <v>361</v>
      </c>
      <c r="G295" s="37">
        <v>3071</v>
      </c>
      <c r="H295" s="37">
        <v>126</v>
      </c>
      <c r="I295" s="37">
        <v>200</v>
      </c>
      <c r="J295" s="37">
        <v>44013</v>
      </c>
      <c r="K295" s="37">
        <v>44679</v>
      </c>
      <c r="L295" s="37">
        <v>118</v>
      </c>
      <c r="M295" s="37" t="s">
        <v>16</v>
      </c>
      <c r="N295" s="45">
        <v>7.7181741758116901E-2</v>
      </c>
      <c r="O295" s="39" t="s">
        <v>355</v>
      </c>
    </row>
    <row r="296" spans="1:15" x14ac:dyDescent="0.3">
      <c r="A296" s="32" t="s">
        <v>109</v>
      </c>
      <c r="B296" s="33" t="s">
        <v>13</v>
      </c>
      <c r="C296" s="34">
        <v>45487</v>
      </c>
      <c r="D296" s="33" t="s">
        <v>14</v>
      </c>
      <c r="E296" s="33" t="s">
        <v>26</v>
      </c>
      <c r="F296" s="33"/>
      <c r="G296" s="33">
        <v>2464</v>
      </c>
      <c r="H296" s="33">
        <v>401</v>
      </c>
      <c r="I296" s="33">
        <v>78</v>
      </c>
      <c r="J296" s="33">
        <v>38665</v>
      </c>
      <c r="K296" s="33">
        <v>73593</v>
      </c>
      <c r="L296" s="33">
        <v>207</v>
      </c>
      <c r="M296" s="33" t="s">
        <v>20</v>
      </c>
      <c r="N296" s="44">
        <v>7.6115349799560306E-2</v>
      </c>
      <c r="O296" s="35" t="s">
        <v>19</v>
      </c>
    </row>
    <row r="297" spans="1:15" x14ac:dyDescent="0.3">
      <c r="A297" s="36" t="s">
        <v>65</v>
      </c>
      <c r="B297" s="37" t="s">
        <v>22</v>
      </c>
      <c r="C297" s="38">
        <v>45419</v>
      </c>
      <c r="D297" s="37" t="s">
        <v>23</v>
      </c>
      <c r="E297" s="37" t="s">
        <v>18</v>
      </c>
      <c r="F297" s="37"/>
      <c r="G297" s="37">
        <v>2776</v>
      </c>
      <c r="H297" s="37">
        <v>307</v>
      </c>
      <c r="I297" s="37">
        <v>178</v>
      </c>
      <c r="J297" s="37">
        <v>43365</v>
      </c>
      <c r="K297" s="37">
        <v>48408</v>
      </c>
      <c r="L297" s="37">
        <v>138</v>
      </c>
      <c r="M297" s="37" t="s">
        <v>16</v>
      </c>
      <c r="N297" s="45">
        <v>7.5198893116568605E-2</v>
      </c>
      <c r="O297" s="39" t="s">
        <v>39</v>
      </c>
    </row>
    <row r="298" spans="1:15" x14ac:dyDescent="0.3">
      <c r="A298" s="32" t="s">
        <v>65</v>
      </c>
      <c r="B298" s="33" t="s">
        <v>22</v>
      </c>
      <c r="C298" s="34">
        <v>45419</v>
      </c>
      <c r="D298" s="33" t="s">
        <v>23</v>
      </c>
      <c r="E298" s="33" t="s">
        <v>18</v>
      </c>
      <c r="F298" s="33"/>
      <c r="G298" s="33">
        <v>2776</v>
      </c>
      <c r="H298" s="33">
        <v>307</v>
      </c>
      <c r="I298" s="33">
        <v>178</v>
      </c>
      <c r="J298" s="33">
        <v>43365</v>
      </c>
      <c r="K298" s="33">
        <v>48408</v>
      </c>
      <c r="L298" s="33">
        <v>138</v>
      </c>
      <c r="M298" s="33" t="s">
        <v>16</v>
      </c>
      <c r="N298" s="44">
        <v>7.5198893116568605E-2</v>
      </c>
      <c r="O298" s="35" t="s">
        <v>36</v>
      </c>
    </row>
    <row r="299" spans="1:15" x14ac:dyDescent="0.3">
      <c r="A299" s="36" t="s">
        <v>292</v>
      </c>
      <c r="B299" s="37" t="s">
        <v>22</v>
      </c>
      <c r="C299" s="38">
        <v>45676</v>
      </c>
      <c r="D299" s="37" t="s">
        <v>23</v>
      </c>
      <c r="E299" s="37" t="s">
        <v>29</v>
      </c>
      <c r="F299" s="37"/>
      <c r="G299" s="37">
        <v>1651</v>
      </c>
      <c r="H299" s="37">
        <v>480</v>
      </c>
      <c r="I299" s="37">
        <v>282</v>
      </c>
      <c r="J299" s="37">
        <v>32140</v>
      </c>
      <c r="K299" s="37">
        <v>70560</v>
      </c>
      <c r="L299" s="37">
        <v>138</v>
      </c>
      <c r="M299" s="37" t="s">
        <v>16</v>
      </c>
      <c r="N299" s="45">
        <v>7.5077784691972599E-2</v>
      </c>
      <c r="O299" s="39" t="s">
        <v>39</v>
      </c>
    </row>
    <row r="300" spans="1:15" x14ac:dyDescent="0.3">
      <c r="A300" s="32" t="s">
        <v>292</v>
      </c>
      <c r="B300" s="33" t="s">
        <v>22</v>
      </c>
      <c r="C300" s="34">
        <v>45676</v>
      </c>
      <c r="D300" s="33" t="s">
        <v>23</v>
      </c>
      <c r="E300" s="33" t="s">
        <v>29</v>
      </c>
      <c r="F300" s="33"/>
      <c r="G300" s="33">
        <v>1651</v>
      </c>
      <c r="H300" s="33">
        <v>480</v>
      </c>
      <c r="I300" s="33">
        <v>282</v>
      </c>
      <c r="J300" s="33">
        <v>32140</v>
      </c>
      <c r="K300" s="33">
        <v>70560</v>
      </c>
      <c r="L300" s="33">
        <v>138</v>
      </c>
      <c r="M300" s="33" t="s">
        <v>16</v>
      </c>
      <c r="N300" s="44">
        <v>7.5077784691972599E-2</v>
      </c>
      <c r="O300" s="35" t="s">
        <v>36</v>
      </c>
    </row>
    <row r="301" spans="1:15" x14ac:dyDescent="0.3">
      <c r="A301" s="36" t="s">
        <v>167</v>
      </c>
      <c r="B301" s="37" t="s">
        <v>22</v>
      </c>
      <c r="C301" s="38">
        <v>45792</v>
      </c>
      <c r="D301" s="37" t="s">
        <v>14</v>
      </c>
      <c r="E301" s="37" t="s">
        <v>24</v>
      </c>
      <c r="F301" s="37"/>
      <c r="G301" s="37">
        <v>1583</v>
      </c>
      <c r="H301" s="37">
        <v>433</v>
      </c>
      <c r="I301" s="37">
        <v>249</v>
      </c>
      <c r="J301" s="37">
        <v>30256</v>
      </c>
      <c r="K301" s="37">
        <v>47066</v>
      </c>
      <c r="L301" s="37">
        <v>196</v>
      </c>
      <c r="M301" s="37" t="s">
        <v>16</v>
      </c>
      <c r="N301" s="45">
        <v>7.4861184558434699E-2</v>
      </c>
      <c r="O301" s="39" t="s">
        <v>36</v>
      </c>
    </row>
    <row r="302" spans="1:15" x14ac:dyDescent="0.3">
      <c r="A302" s="32" t="s">
        <v>30</v>
      </c>
      <c r="B302" s="33" t="s">
        <v>28</v>
      </c>
      <c r="C302" s="34">
        <v>45456</v>
      </c>
      <c r="D302" s="33" t="s">
        <v>14</v>
      </c>
      <c r="E302" s="33" t="s">
        <v>360</v>
      </c>
      <c r="F302" s="33" t="s">
        <v>361</v>
      </c>
      <c r="G302" s="33">
        <v>3882</v>
      </c>
      <c r="H302" s="33">
        <v>239</v>
      </c>
      <c r="I302" s="33">
        <v>275</v>
      </c>
      <c r="J302" s="33">
        <v>58748</v>
      </c>
      <c r="K302" s="33">
        <v>44646</v>
      </c>
      <c r="L302" s="33">
        <v>149</v>
      </c>
      <c r="M302" s="33" t="s">
        <v>20</v>
      </c>
      <c r="N302" s="44">
        <v>7.4828079253761795E-2</v>
      </c>
      <c r="O302" s="35" t="s">
        <v>19</v>
      </c>
    </row>
    <row r="303" spans="1:15" x14ac:dyDescent="0.3">
      <c r="A303" s="36" t="s">
        <v>30</v>
      </c>
      <c r="B303" s="37" t="s">
        <v>28</v>
      </c>
      <c r="C303" s="38">
        <v>45456</v>
      </c>
      <c r="D303" s="37" t="s">
        <v>14</v>
      </c>
      <c r="E303" s="37" t="s">
        <v>360</v>
      </c>
      <c r="F303" s="37" t="s">
        <v>361</v>
      </c>
      <c r="G303" s="37">
        <v>3882</v>
      </c>
      <c r="H303" s="37">
        <v>239</v>
      </c>
      <c r="I303" s="37">
        <v>275</v>
      </c>
      <c r="J303" s="37">
        <v>58748</v>
      </c>
      <c r="K303" s="37">
        <v>44646</v>
      </c>
      <c r="L303" s="37">
        <v>149</v>
      </c>
      <c r="M303" s="37" t="s">
        <v>20</v>
      </c>
      <c r="N303" s="45">
        <v>7.4828079253761795E-2</v>
      </c>
      <c r="O303" s="39" t="s">
        <v>354</v>
      </c>
    </row>
    <row r="304" spans="1:15" x14ac:dyDescent="0.3">
      <c r="A304" s="32" t="s">
        <v>41</v>
      </c>
      <c r="B304" s="33" t="s">
        <v>22</v>
      </c>
      <c r="C304" s="34">
        <v>45826</v>
      </c>
      <c r="D304" s="33" t="s">
        <v>23</v>
      </c>
      <c r="E304" s="33" t="s">
        <v>15</v>
      </c>
      <c r="F304" s="33"/>
      <c r="G304" s="33">
        <v>3956</v>
      </c>
      <c r="H304" s="33">
        <v>319</v>
      </c>
      <c r="I304" s="33">
        <v>61</v>
      </c>
      <c r="J304" s="33">
        <v>58162</v>
      </c>
      <c r="K304" s="33">
        <v>28720</v>
      </c>
      <c r="L304" s="33">
        <v>213</v>
      </c>
      <c r="M304" s="33" t="s">
        <v>16</v>
      </c>
      <c r="N304" s="44">
        <v>7.4550393727863595E-2</v>
      </c>
      <c r="O304" s="35" t="s">
        <v>355</v>
      </c>
    </row>
    <row r="305" spans="1:15" x14ac:dyDescent="0.3">
      <c r="A305" s="36" t="s">
        <v>41</v>
      </c>
      <c r="B305" s="37" t="s">
        <v>22</v>
      </c>
      <c r="C305" s="38">
        <v>45826</v>
      </c>
      <c r="D305" s="37" t="s">
        <v>23</v>
      </c>
      <c r="E305" s="37" t="s">
        <v>15</v>
      </c>
      <c r="F305" s="37"/>
      <c r="G305" s="37">
        <v>3956</v>
      </c>
      <c r="H305" s="37">
        <v>319</v>
      </c>
      <c r="I305" s="37">
        <v>61</v>
      </c>
      <c r="J305" s="37">
        <v>58162</v>
      </c>
      <c r="K305" s="37">
        <v>28720</v>
      </c>
      <c r="L305" s="37">
        <v>213</v>
      </c>
      <c r="M305" s="37" t="s">
        <v>16</v>
      </c>
      <c r="N305" s="45">
        <v>7.4550393727863595E-2</v>
      </c>
      <c r="O305" s="39" t="s">
        <v>36</v>
      </c>
    </row>
    <row r="306" spans="1:15" x14ac:dyDescent="0.3">
      <c r="A306" s="32" t="s">
        <v>211</v>
      </c>
      <c r="B306" s="33" t="s">
        <v>13</v>
      </c>
      <c r="C306" s="34">
        <v>45640</v>
      </c>
      <c r="D306" s="33" t="s">
        <v>23</v>
      </c>
      <c r="E306" s="33" t="s">
        <v>43</v>
      </c>
      <c r="F306" s="33"/>
      <c r="G306" s="33">
        <v>3812</v>
      </c>
      <c r="H306" s="33">
        <v>321</v>
      </c>
      <c r="I306" s="33">
        <v>289</v>
      </c>
      <c r="J306" s="33">
        <v>59838</v>
      </c>
      <c r="K306" s="33">
        <v>36337</v>
      </c>
      <c r="L306" s="33">
        <v>161</v>
      </c>
      <c r="M306" s="33" t="s">
        <v>49</v>
      </c>
      <c r="N306" s="44">
        <v>7.3899528727564404E-2</v>
      </c>
      <c r="O306" s="35" t="s">
        <v>36</v>
      </c>
    </row>
    <row r="307" spans="1:15" x14ac:dyDescent="0.3">
      <c r="A307" s="36" t="s">
        <v>301</v>
      </c>
      <c r="B307" s="37" t="s">
        <v>28</v>
      </c>
      <c r="C307" s="38">
        <v>45368</v>
      </c>
      <c r="D307" s="37" t="s">
        <v>51</v>
      </c>
      <c r="E307" s="37" t="s">
        <v>18</v>
      </c>
      <c r="F307" s="37"/>
      <c r="G307" s="37">
        <v>2692</v>
      </c>
      <c r="H307" s="37">
        <v>446</v>
      </c>
      <c r="I307" s="37">
        <v>216</v>
      </c>
      <c r="J307" s="37">
        <v>45818</v>
      </c>
      <c r="K307" s="37">
        <v>62723</v>
      </c>
      <c r="L307" s="37">
        <v>85</v>
      </c>
      <c r="M307" s="37" t="s">
        <v>52</v>
      </c>
      <c r="N307" s="45">
        <v>7.3202671439172404E-2</v>
      </c>
      <c r="O307" s="39" t="s">
        <v>19</v>
      </c>
    </row>
    <row r="308" spans="1:15" x14ac:dyDescent="0.3">
      <c r="A308" s="32" t="s">
        <v>301</v>
      </c>
      <c r="B308" s="33" t="s">
        <v>28</v>
      </c>
      <c r="C308" s="34">
        <v>45368</v>
      </c>
      <c r="D308" s="33" t="s">
        <v>51</v>
      </c>
      <c r="E308" s="33" t="s">
        <v>18</v>
      </c>
      <c r="F308" s="33"/>
      <c r="G308" s="33">
        <v>2692</v>
      </c>
      <c r="H308" s="33">
        <v>446</v>
      </c>
      <c r="I308" s="33">
        <v>216</v>
      </c>
      <c r="J308" s="33">
        <v>45818</v>
      </c>
      <c r="K308" s="33">
        <v>62723</v>
      </c>
      <c r="L308" s="33">
        <v>85</v>
      </c>
      <c r="M308" s="33" t="s">
        <v>52</v>
      </c>
      <c r="N308" s="44">
        <v>7.3202671439172404E-2</v>
      </c>
      <c r="O308" s="35" t="s">
        <v>39</v>
      </c>
    </row>
    <row r="309" spans="1:15" x14ac:dyDescent="0.3">
      <c r="A309" s="36" t="s">
        <v>113</v>
      </c>
      <c r="B309" s="37" t="s">
        <v>13</v>
      </c>
      <c r="C309" s="38">
        <v>45825</v>
      </c>
      <c r="D309" s="37" t="s">
        <v>14</v>
      </c>
      <c r="E309" s="37" t="s">
        <v>29</v>
      </c>
      <c r="F309" s="37"/>
      <c r="G309" s="37">
        <v>2284</v>
      </c>
      <c r="H309" s="37">
        <v>187</v>
      </c>
      <c r="I309" s="37">
        <v>260</v>
      </c>
      <c r="J309" s="37">
        <v>37400</v>
      </c>
      <c r="K309" s="37">
        <v>65014</v>
      </c>
      <c r="L309" s="37">
        <v>157</v>
      </c>
      <c r="M309" s="37" t="s">
        <v>16</v>
      </c>
      <c r="N309" s="45">
        <v>7.3021390374331599E-2</v>
      </c>
      <c r="O309" s="39" t="s">
        <v>39</v>
      </c>
    </row>
    <row r="310" spans="1:15" x14ac:dyDescent="0.3">
      <c r="A310" s="32" t="s">
        <v>113</v>
      </c>
      <c r="B310" s="33" t="s">
        <v>13</v>
      </c>
      <c r="C310" s="34">
        <v>45825</v>
      </c>
      <c r="D310" s="33" t="s">
        <v>14</v>
      </c>
      <c r="E310" s="33" t="s">
        <v>29</v>
      </c>
      <c r="F310" s="33"/>
      <c r="G310" s="33">
        <v>2284</v>
      </c>
      <c r="H310" s="33">
        <v>187</v>
      </c>
      <c r="I310" s="33">
        <v>260</v>
      </c>
      <c r="J310" s="33">
        <v>37400</v>
      </c>
      <c r="K310" s="33">
        <v>65014</v>
      </c>
      <c r="L310" s="33">
        <v>157</v>
      </c>
      <c r="M310" s="33" t="s">
        <v>16</v>
      </c>
      <c r="N310" s="44">
        <v>7.3021390374331599E-2</v>
      </c>
      <c r="O310" s="35" t="s">
        <v>36</v>
      </c>
    </row>
    <row r="311" spans="1:15" x14ac:dyDescent="0.3">
      <c r="A311" s="36" t="s">
        <v>215</v>
      </c>
      <c r="B311" s="37" t="s">
        <v>13</v>
      </c>
      <c r="C311" s="38">
        <v>45370</v>
      </c>
      <c r="D311" s="37" t="s">
        <v>14</v>
      </c>
      <c r="E311" s="37" t="s">
        <v>43</v>
      </c>
      <c r="F311" s="37"/>
      <c r="G311" s="37">
        <v>2878</v>
      </c>
      <c r="H311" s="37">
        <v>278</v>
      </c>
      <c r="I311" s="37">
        <v>255</v>
      </c>
      <c r="J311" s="37">
        <v>47235</v>
      </c>
      <c r="K311" s="37">
        <v>57922</v>
      </c>
      <c r="L311" s="37">
        <v>112</v>
      </c>
      <c r="M311" s="37" t="s">
        <v>16</v>
      </c>
      <c r="N311" s="45">
        <v>7.2213401079707806E-2</v>
      </c>
      <c r="O311" s="39" t="s">
        <v>39</v>
      </c>
    </row>
    <row r="312" spans="1:15" x14ac:dyDescent="0.3">
      <c r="A312" s="32" t="s">
        <v>215</v>
      </c>
      <c r="B312" s="33" t="s">
        <v>13</v>
      </c>
      <c r="C312" s="34">
        <v>45370</v>
      </c>
      <c r="D312" s="33" t="s">
        <v>14</v>
      </c>
      <c r="E312" s="33" t="s">
        <v>43</v>
      </c>
      <c r="F312" s="33"/>
      <c r="G312" s="33">
        <v>2878</v>
      </c>
      <c r="H312" s="33">
        <v>278</v>
      </c>
      <c r="I312" s="33">
        <v>255</v>
      </c>
      <c r="J312" s="33">
        <v>47235</v>
      </c>
      <c r="K312" s="33">
        <v>57922</v>
      </c>
      <c r="L312" s="33">
        <v>112</v>
      </c>
      <c r="M312" s="33" t="s">
        <v>16</v>
      </c>
      <c r="N312" s="44">
        <v>7.2213401079707806E-2</v>
      </c>
      <c r="O312" s="35" t="s">
        <v>36</v>
      </c>
    </row>
    <row r="313" spans="1:15" x14ac:dyDescent="0.3">
      <c r="A313" s="36" t="s">
        <v>180</v>
      </c>
      <c r="B313" s="37" t="s">
        <v>22</v>
      </c>
      <c r="C313" s="38">
        <v>45312</v>
      </c>
      <c r="D313" s="37" t="s">
        <v>23</v>
      </c>
      <c r="E313" s="37" t="s">
        <v>15</v>
      </c>
      <c r="F313" s="37"/>
      <c r="G313" s="37">
        <v>2383</v>
      </c>
      <c r="H313" s="37">
        <v>136</v>
      </c>
      <c r="I313" s="37">
        <v>302</v>
      </c>
      <c r="J313" s="37">
        <v>39187</v>
      </c>
      <c r="K313" s="37">
        <v>22133</v>
      </c>
      <c r="L313" s="37">
        <v>208</v>
      </c>
      <c r="M313" s="37" t="s">
        <v>16</v>
      </c>
      <c r="N313" s="45">
        <v>7.1988159338556207E-2</v>
      </c>
      <c r="O313" s="39" t="s">
        <v>355</v>
      </c>
    </row>
    <row r="314" spans="1:15" x14ac:dyDescent="0.3">
      <c r="A314" s="32" t="s">
        <v>180</v>
      </c>
      <c r="B314" s="33" t="s">
        <v>22</v>
      </c>
      <c r="C314" s="34">
        <v>45312</v>
      </c>
      <c r="D314" s="33" t="s">
        <v>23</v>
      </c>
      <c r="E314" s="33" t="s">
        <v>15</v>
      </c>
      <c r="F314" s="33"/>
      <c r="G314" s="33">
        <v>2383</v>
      </c>
      <c r="H314" s="33">
        <v>136</v>
      </c>
      <c r="I314" s="33">
        <v>302</v>
      </c>
      <c r="J314" s="33">
        <v>39187</v>
      </c>
      <c r="K314" s="33">
        <v>22133</v>
      </c>
      <c r="L314" s="33">
        <v>208</v>
      </c>
      <c r="M314" s="33" t="s">
        <v>16</v>
      </c>
      <c r="N314" s="44">
        <v>7.1988159338556207E-2</v>
      </c>
      <c r="O314" s="35" t="s">
        <v>36</v>
      </c>
    </row>
    <row r="315" spans="1:15" x14ac:dyDescent="0.3">
      <c r="A315" s="36" t="s">
        <v>280</v>
      </c>
      <c r="B315" s="37" t="s">
        <v>22</v>
      </c>
      <c r="C315" s="38">
        <v>45551</v>
      </c>
      <c r="D315" s="37" t="s">
        <v>23</v>
      </c>
      <c r="E315" s="37" t="s">
        <v>45</v>
      </c>
      <c r="F315" s="37"/>
      <c r="G315" s="37">
        <v>3300</v>
      </c>
      <c r="H315" s="37">
        <v>354</v>
      </c>
      <c r="I315" s="37">
        <v>397</v>
      </c>
      <c r="J315" s="37">
        <v>56773</v>
      </c>
      <c r="K315" s="37">
        <v>72110</v>
      </c>
      <c r="L315" s="37">
        <v>163</v>
      </c>
      <c r="M315" s="37" t="s">
        <v>16</v>
      </c>
      <c r="N315" s="45">
        <v>7.1354340971940905E-2</v>
      </c>
      <c r="O315" s="39" t="s">
        <v>19</v>
      </c>
    </row>
    <row r="316" spans="1:15" x14ac:dyDescent="0.3">
      <c r="A316" s="32" t="s">
        <v>280</v>
      </c>
      <c r="B316" s="33" t="s">
        <v>22</v>
      </c>
      <c r="C316" s="34">
        <v>45551</v>
      </c>
      <c r="D316" s="33" t="s">
        <v>23</v>
      </c>
      <c r="E316" s="33" t="s">
        <v>45</v>
      </c>
      <c r="F316" s="33"/>
      <c r="G316" s="33">
        <v>3300</v>
      </c>
      <c r="H316" s="33">
        <v>354</v>
      </c>
      <c r="I316" s="33">
        <v>397</v>
      </c>
      <c r="J316" s="33">
        <v>56773</v>
      </c>
      <c r="K316" s="33">
        <v>72110</v>
      </c>
      <c r="L316" s="33">
        <v>163</v>
      </c>
      <c r="M316" s="33" t="s">
        <v>16</v>
      </c>
      <c r="N316" s="44">
        <v>7.1354340971940905E-2</v>
      </c>
      <c r="O316" s="35" t="s">
        <v>355</v>
      </c>
    </row>
    <row r="317" spans="1:15" x14ac:dyDescent="0.3">
      <c r="A317" s="36" t="s">
        <v>240</v>
      </c>
      <c r="B317" s="37" t="s">
        <v>22</v>
      </c>
      <c r="C317" s="38">
        <v>45387</v>
      </c>
      <c r="D317" s="37" t="s">
        <v>23</v>
      </c>
      <c r="E317" s="37" t="s">
        <v>26</v>
      </c>
      <c r="F317" s="37"/>
      <c r="G317" s="37">
        <v>2857</v>
      </c>
      <c r="H317" s="37">
        <v>443</v>
      </c>
      <c r="I317" s="37">
        <v>359</v>
      </c>
      <c r="J317" s="37">
        <v>51519</v>
      </c>
      <c r="K317" s="37">
        <v>28256</v>
      </c>
      <c r="L317" s="37">
        <v>155</v>
      </c>
      <c r="M317" s="37" t="s">
        <v>16</v>
      </c>
      <c r="N317" s="45">
        <v>7.1022341272151998E-2</v>
      </c>
      <c r="O317" s="39" t="s">
        <v>39</v>
      </c>
    </row>
    <row r="318" spans="1:15" x14ac:dyDescent="0.3">
      <c r="A318" s="32" t="s">
        <v>240</v>
      </c>
      <c r="B318" s="33" t="s">
        <v>22</v>
      </c>
      <c r="C318" s="34">
        <v>45387</v>
      </c>
      <c r="D318" s="33" t="s">
        <v>23</v>
      </c>
      <c r="E318" s="33" t="s">
        <v>26</v>
      </c>
      <c r="F318" s="33"/>
      <c r="G318" s="33">
        <v>2857</v>
      </c>
      <c r="H318" s="33">
        <v>443</v>
      </c>
      <c r="I318" s="33">
        <v>359</v>
      </c>
      <c r="J318" s="33">
        <v>51519</v>
      </c>
      <c r="K318" s="33">
        <v>28256</v>
      </c>
      <c r="L318" s="33">
        <v>155</v>
      </c>
      <c r="M318" s="33" t="s">
        <v>16</v>
      </c>
      <c r="N318" s="44">
        <v>7.1022341272151998E-2</v>
      </c>
      <c r="O318" s="35" t="s">
        <v>36</v>
      </c>
    </row>
    <row r="319" spans="1:15" x14ac:dyDescent="0.3">
      <c r="A319" s="36" t="s">
        <v>212</v>
      </c>
      <c r="B319" s="37" t="s">
        <v>22</v>
      </c>
      <c r="C319" s="38">
        <v>45615</v>
      </c>
      <c r="D319" s="37" t="s">
        <v>14</v>
      </c>
      <c r="E319" s="37" t="s">
        <v>18</v>
      </c>
      <c r="F319" s="37"/>
      <c r="G319" s="37">
        <v>2387</v>
      </c>
      <c r="H319" s="37">
        <v>353</v>
      </c>
      <c r="I319" s="37">
        <v>78</v>
      </c>
      <c r="J319" s="37">
        <v>39745</v>
      </c>
      <c r="K319" s="37">
        <v>69226</v>
      </c>
      <c r="L319" s="37">
        <v>208</v>
      </c>
      <c r="M319" s="37" t="s">
        <v>20</v>
      </c>
      <c r="N319" s="45">
        <v>7.0902000251603994E-2</v>
      </c>
      <c r="O319" s="39" t="s">
        <v>39</v>
      </c>
    </row>
    <row r="320" spans="1:15" x14ac:dyDescent="0.3">
      <c r="A320" s="32" t="s">
        <v>159</v>
      </c>
      <c r="B320" s="33" t="s">
        <v>22</v>
      </c>
      <c r="C320" s="34">
        <v>45295</v>
      </c>
      <c r="D320" s="33" t="s">
        <v>23</v>
      </c>
      <c r="E320" s="33" t="s">
        <v>360</v>
      </c>
      <c r="F320" s="33" t="s">
        <v>361</v>
      </c>
      <c r="G320" s="33">
        <v>3208</v>
      </c>
      <c r="H320" s="33">
        <v>476</v>
      </c>
      <c r="I320" s="33">
        <v>277</v>
      </c>
      <c r="J320" s="33">
        <v>56072</v>
      </c>
      <c r="K320" s="33">
        <v>21061</v>
      </c>
      <c r="L320" s="33">
        <v>113</v>
      </c>
      <c r="M320" s="33" t="s">
        <v>16</v>
      </c>
      <c r="N320" s="44">
        <v>7.0641318305036394E-2</v>
      </c>
      <c r="O320" s="35" t="s">
        <v>355</v>
      </c>
    </row>
    <row r="321" spans="1:15" x14ac:dyDescent="0.3">
      <c r="A321" s="36" t="s">
        <v>159</v>
      </c>
      <c r="B321" s="37" t="s">
        <v>22</v>
      </c>
      <c r="C321" s="38">
        <v>45295</v>
      </c>
      <c r="D321" s="37" t="s">
        <v>23</v>
      </c>
      <c r="E321" s="37" t="s">
        <v>360</v>
      </c>
      <c r="F321" s="37" t="s">
        <v>361</v>
      </c>
      <c r="G321" s="37">
        <v>3208</v>
      </c>
      <c r="H321" s="37">
        <v>476</v>
      </c>
      <c r="I321" s="37">
        <v>277</v>
      </c>
      <c r="J321" s="37">
        <v>56072</v>
      </c>
      <c r="K321" s="37">
        <v>21061</v>
      </c>
      <c r="L321" s="37">
        <v>113</v>
      </c>
      <c r="M321" s="37" t="s">
        <v>16</v>
      </c>
      <c r="N321" s="45">
        <v>7.0641318305036394E-2</v>
      </c>
      <c r="O321" s="39" t="s">
        <v>36</v>
      </c>
    </row>
    <row r="322" spans="1:15" x14ac:dyDescent="0.3">
      <c r="A322" s="32" t="s">
        <v>174</v>
      </c>
      <c r="B322" s="33" t="s">
        <v>28</v>
      </c>
      <c r="C322" s="34">
        <v>45566</v>
      </c>
      <c r="D322" s="33" t="s">
        <v>51</v>
      </c>
      <c r="E322" s="33" t="s">
        <v>18</v>
      </c>
      <c r="F322" s="33"/>
      <c r="G322" s="33">
        <v>3543</v>
      </c>
      <c r="H322" s="33">
        <v>334</v>
      </c>
      <c r="I322" s="33">
        <v>218</v>
      </c>
      <c r="J322" s="33">
        <v>58007</v>
      </c>
      <c r="K322" s="33">
        <v>24792</v>
      </c>
      <c r="L322" s="33">
        <v>273</v>
      </c>
      <c r="M322" s="33" t="s">
        <v>52</v>
      </c>
      <c r="N322" s="44">
        <v>7.0594928198320903E-2</v>
      </c>
      <c r="O322" s="35" t="s">
        <v>19</v>
      </c>
    </row>
    <row r="323" spans="1:15" x14ac:dyDescent="0.3">
      <c r="A323" s="36" t="s">
        <v>174</v>
      </c>
      <c r="B323" s="37" t="s">
        <v>28</v>
      </c>
      <c r="C323" s="38">
        <v>45566</v>
      </c>
      <c r="D323" s="37" t="s">
        <v>51</v>
      </c>
      <c r="E323" s="37" t="s">
        <v>18</v>
      </c>
      <c r="F323" s="37"/>
      <c r="G323" s="37">
        <v>3543</v>
      </c>
      <c r="H323" s="37">
        <v>334</v>
      </c>
      <c r="I323" s="37">
        <v>218</v>
      </c>
      <c r="J323" s="37">
        <v>58007</v>
      </c>
      <c r="K323" s="37">
        <v>24792</v>
      </c>
      <c r="L323" s="37">
        <v>273</v>
      </c>
      <c r="M323" s="37" t="s">
        <v>52</v>
      </c>
      <c r="N323" s="45">
        <v>7.0594928198320903E-2</v>
      </c>
      <c r="O323" s="39" t="s">
        <v>39</v>
      </c>
    </row>
    <row r="324" spans="1:15" x14ac:dyDescent="0.3">
      <c r="A324" s="32" t="s">
        <v>21</v>
      </c>
      <c r="B324" s="33" t="s">
        <v>22</v>
      </c>
      <c r="C324" s="34">
        <v>45629</v>
      </c>
      <c r="D324" s="33" t="s">
        <v>23</v>
      </c>
      <c r="E324" s="33" t="s">
        <v>24</v>
      </c>
      <c r="F324" s="33"/>
      <c r="G324" s="33">
        <v>3092</v>
      </c>
      <c r="H324" s="33">
        <v>177</v>
      </c>
      <c r="I324" s="33">
        <v>81</v>
      </c>
      <c r="J324" s="33">
        <v>47533</v>
      </c>
      <c r="K324" s="33">
        <v>29220</v>
      </c>
      <c r="L324" s="33">
        <v>121</v>
      </c>
      <c r="M324" s="33" t="s">
        <v>16</v>
      </c>
      <c r="N324" s="44">
        <v>7.0477352576105004E-2</v>
      </c>
      <c r="O324" s="35" t="s">
        <v>355</v>
      </c>
    </row>
    <row r="325" spans="1:15" x14ac:dyDescent="0.3">
      <c r="A325" s="36" t="s">
        <v>21</v>
      </c>
      <c r="B325" s="37" t="s">
        <v>22</v>
      </c>
      <c r="C325" s="38">
        <v>45629</v>
      </c>
      <c r="D325" s="37" t="s">
        <v>23</v>
      </c>
      <c r="E325" s="37" t="s">
        <v>24</v>
      </c>
      <c r="F325" s="37"/>
      <c r="G325" s="37">
        <v>3092</v>
      </c>
      <c r="H325" s="37">
        <v>177</v>
      </c>
      <c r="I325" s="37">
        <v>81</v>
      </c>
      <c r="J325" s="37">
        <v>47533</v>
      </c>
      <c r="K325" s="37">
        <v>29220</v>
      </c>
      <c r="L325" s="37">
        <v>121</v>
      </c>
      <c r="M325" s="37" t="s">
        <v>16</v>
      </c>
      <c r="N325" s="45">
        <v>7.0477352576105004E-2</v>
      </c>
      <c r="O325" s="39" t="s">
        <v>36</v>
      </c>
    </row>
    <row r="326" spans="1:15" x14ac:dyDescent="0.3">
      <c r="A326" s="32" t="s">
        <v>62</v>
      </c>
      <c r="B326" s="33" t="s">
        <v>22</v>
      </c>
      <c r="C326" s="34">
        <v>45734</v>
      </c>
      <c r="D326" s="33" t="s">
        <v>23</v>
      </c>
      <c r="E326" s="33" t="s">
        <v>18</v>
      </c>
      <c r="F326" s="33"/>
      <c r="G326" s="33">
        <v>3418</v>
      </c>
      <c r="H326" s="33">
        <v>188</v>
      </c>
      <c r="I326" s="33">
        <v>387</v>
      </c>
      <c r="J326" s="33">
        <v>57431</v>
      </c>
      <c r="K326" s="33">
        <v>36933</v>
      </c>
      <c r="L326" s="33">
        <v>202</v>
      </c>
      <c r="M326" s="33" t="s">
        <v>16</v>
      </c>
      <c r="N326" s="44">
        <v>6.9526910553533799E-2</v>
      </c>
      <c r="O326" s="35" t="s">
        <v>355</v>
      </c>
    </row>
    <row r="327" spans="1:15" x14ac:dyDescent="0.3">
      <c r="A327" s="36" t="s">
        <v>62</v>
      </c>
      <c r="B327" s="37" t="s">
        <v>22</v>
      </c>
      <c r="C327" s="38">
        <v>45734</v>
      </c>
      <c r="D327" s="37" t="s">
        <v>23</v>
      </c>
      <c r="E327" s="37" t="s">
        <v>18</v>
      </c>
      <c r="F327" s="37"/>
      <c r="G327" s="37">
        <v>3418</v>
      </c>
      <c r="H327" s="37">
        <v>188</v>
      </c>
      <c r="I327" s="37">
        <v>387</v>
      </c>
      <c r="J327" s="37">
        <v>57431</v>
      </c>
      <c r="K327" s="37">
        <v>36933</v>
      </c>
      <c r="L327" s="37">
        <v>202</v>
      </c>
      <c r="M327" s="37" t="s">
        <v>16</v>
      </c>
      <c r="N327" s="45">
        <v>6.9526910553533799E-2</v>
      </c>
      <c r="O327" s="39" t="s">
        <v>36</v>
      </c>
    </row>
    <row r="328" spans="1:15" x14ac:dyDescent="0.3">
      <c r="A328" s="32" t="s">
        <v>184</v>
      </c>
      <c r="B328" s="33" t="s">
        <v>13</v>
      </c>
      <c r="C328" s="34">
        <v>45516</v>
      </c>
      <c r="D328" s="33" t="s">
        <v>23</v>
      </c>
      <c r="E328" s="33" t="s">
        <v>15</v>
      </c>
      <c r="F328" s="33"/>
      <c r="G328" s="33">
        <v>2962</v>
      </c>
      <c r="H328" s="33">
        <v>400</v>
      </c>
      <c r="I328" s="33">
        <v>280</v>
      </c>
      <c r="J328" s="33">
        <v>52508</v>
      </c>
      <c r="K328" s="33">
        <v>58329</v>
      </c>
      <c r="L328" s="33">
        <v>219</v>
      </c>
      <c r="M328" s="33" t="s">
        <v>49</v>
      </c>
      <c r="N328" s="44">
        <v>6.9360859297630806E-2</v>
      </c>
      <c r="O328" s="35" t="s">
        <v>36</v>
      </c>
    </row>
    <row r="329" spans="1:15" x14ac:dyDescent="0.3">
      <c r="A329" s="36" t="s">
        <v>132</v>
      </c>
      <c r="B329" s="37" t="s">
        <v>22</v>
      </c>
      <c r="C329" s="38">
        <v>45580</v>
      </c>
      <c r="D329" s="37" t="s">
        <v>14</v>
      </c>
      <c r="E329" s="37" t="s">
        <v>26</v>
      </c>
      <c r="F329" s="37"/>
      <c r="G329" s="37">
        <v>1984</v>
      </c>
      <c r="H329" s="37">
        <v>481</v>
      </c>
      <c r="I329" s="37">
        <v>356</v>
      </c>
      <c r="J329" s="37">
        <v>40681</v>
      </c>
      <c r="K329" s="37">
        <v>63111</v>
      </c>
      <c r="L329" s="37">
        <v>258</v>
      </c>
      <c r="M329" s="37" t="s">
        <v>16</v>
      </c>
      <c r="N329" s="45">
        <v>6.9344411395983394E-2</v>
      </c>
      <c r="O329" s="39" t="s">
        <v>36</v>
      </c>
    </row>
    <row r="330" spans="1:15" x14ac:dyDescent="0.3">
      <c r="A330" s="32" t="s">
        <v>294</v>
      </c>
      <c r="B330" s="33" t="s">
        <v>22</v>
      </c>
      <c r="C330" s="34">
        <v>45612</v>
      </c>
      <c r="D330" s="33" t="s">
        <v>14</v>
      </c>
      <c r="E330" s="33" t="s">
        <v>43</v>
      </c>
      <c r="F330" s="33"/>
      <c r="G330" s="33">
        <v>2972</v>
      </c>
      <c r="H330" s="33">
        <v>263</v>
      </c>
      <c r="I330" s="33">
        <v>308</v>
      </c>
      <c r="J330" s="33">
        <v>51740</v>
      </c>
      <c r="K330" s="33">
        <v>28214</v>
      </c>
      <c r="L330" s="33">
        <v>190</v>
      </c>
      <c r="M330" s="33" t="s">
        <v>20</v>
      </c>
      <c r="N330" s="44">
        <v>6.8477000386548095E-2</v>
      </c>
      <c r="O330" s="35" t="s">
        <v>39</v>
      </c>
    </row>
    <row r="331" spans="1:15" x14ac:dyDescent="0.3">
      <c r="A331" s="36" t="s">
        <v>264</v>
      </c>
      <c r="B331" s="37" t="s">
        <v>13</v>
      </c>
      <c r="C331" s="38">
        <v>45379</v>
      </c>
      <c r="D331" s="37" t="s">
        <v>14</v>
      </c>
      <c r="E331" s="37" t="s">
        <v>360</v>
      </c>
      <c r="F331" s="37" t="s">
        <v>361</v>
      </c>
      <c r="G331" s="37">
        <v>1673</v>
      </c>
      <c r="H331" s="37">
        <v>280</v>
      </c>
      <c r="I331" s="37">
        <v>67</v>
      </c>
      <c r="J331" s="37">
        <v>29847</v>
      </c>
      <c r="K331" s="37">
        <v>48016</v>
      </c>
      <c r="L331" s="37">
        <v>213</v>
      </c>
      <c r="M331" s="37" t="s">
        <v>16</v>
      </c>
      <c r="N331" s="45">
        <v>6.76784936509532E-2</v>
      </c>
      <c r="O331" s="39" t="s">
        <v>39</v>
      </c>
    </row>
    <row r="332" spans="1:15" x14ac:dyDescent="0.3">
      <c r="A332" s="32" t="s">
        <v>264</v>
      </c>
      <c r="B332" s="33" t="s">
        <v>13</v>
      </c>
      <c r="C332" s="34">
        <v>45379</v>
      </c>
      <c r="D332" s="33" t="s">
        <v>14</v>
      </c>
      <c r="E332" s="33" t="s">
        <v>360</v>
      </c>
      <c r="F332" s="33" t="s">
        <v>361</v>
      </c>
      <c r="G332" s="33">
        <v>1673</v>
      </c>
      <c r="H332" s="33">
        <v>280</v>
      </c>
      <c r="I332" s="33">
        <v>67</v>
      </c>
      <c r="J332" s="33">
        <v>29847</v>
      </c>
      <c r="K332" s="33">
        <v>48016</v>
      </c>
      <c r="L332" s="33">
        <v>213</v>
      </c>
      <c r="M332" s="33" t="s">
        <v>16</v>
      </c>
      <c r="N332" s="44">
        <v>6.76784936509532E-2</v>
      </c>
      <c r="O332" s="35" t="s">
        <v>36</v>
      </c>
    </row>
    <row r="333" spans="1:15" x14ac:dyDescent="0.3">
      <c r="A333" s="36" t="s">
        <v>136</v>
      </c>
      <c r="B333" s="37" t="s">
        <v>13</v>
      </c>
      <c r="C333" s="38">
        <v>45336</v>
      </c>
      <c r="D333" s="37" t="s">
        <v>14</v>
      </c>
      <c r="E333" s="37" t="s">
        <v>29</v>
      </c>
      <c r="F333" s="37"/>
      <c r="G333" s="37">
        <v>1830</v>
      </c>
      <c r="H333" s="37">
        <v>112</v>
      </c>
      <c r="I333" s="37">
        <v>181</v>
      </c>
      <c r="J333" s="37">
        <v>31870</v>
      </c>
      <c r="K333" s="37">
        <v>55742</v>
      </c>
      <c r="L333" s="37">
        <v>263</v>
      </c>
      <c r="M333" s="37" t="s">
        <v>16</v>
      </c>
      <c r="N333" s="45">
        <v>6.6614370881706894E-2</v>
      </c>
      <c r="O333" s="39" t="s">
        <v>39</v>
      </c>
    </row>
    <row r="334" spans="1:15" x14ac:dyDescent="0.3">
      <c r="A334" s="32" t="s">
        <v>136</v>
      </c>
      <c r="B334" s="33" t="s">
        <v>13</v>
      </c>
      <c r="C334" s="34">
        <v>45336</v>
      </c>
      <c r="D334" s="33" t="s">
        <v>14</v>
      </c>
      <c r="E334" s="33" t="s">
        <v>29</v>
      </c>
      <c r="F334" s="33"/>
      <c r="G334" s="33">
        <v>1830</v>
      </c>
      <c r="H334" s="33">
        <v>112</v>
      </c>
      <c r="I334" s="33">
        <v>181</v>
      </c>
      <c r="J334" s="33">
        <v>31870</v>
      </c>
      <c r="K334" s="33">
        <v>55742</v>
      </c>
      <c r="L334" s="33">
        <v>263</v>
      </c>
      <c r="M334" s="33" t="s">
        <v>16</v>
      </c>
      <c r="N334" s="44">
        <v>6.6614370881706894E-2</v>
      </c>
      <c r="O334" s="35" t="s">
        <v>36</v>
      </c>
    </row>
    <row r="335" spans="1:15" x14ac:dyDescent="0.3">
      <c r="A335" s="36" t="s">
        <v>311</v>
      </c>
      <c r="B335" s="37" t="s">
        <v>13</v>
      </c>
      <c r="C335" s="38">
        <v>45628</v>
      </c>
      <c r="D335" s="37" t="s">
        <v>14</v>
      </c>
      <c r="E335" s="37" t="s">
        <v>35</v>
      </c>
      <c r="F335" s="37"/>
      <c r="G335" s="37">
        <v>3194</v>
      </c>
      <c r="H335" s="37">
        <v>292</v>
      </c>
      <c r="I335" s="37">
        <v>245</v>
      </c>
      <c r="J335" s="37">
        <v>56371</v>
      </c>
      <c r="K335" s="37">
        <v>65597</v>
      </c>
      <c r="L335" s="37">
        <v>163</v>
      </c>
      <c r="M335" s="37" t="s">
        <v>16</v>
      </c>
      <c r="N335" s="45">
        <v>6.6186514342481101E-2</v>
      </c>
      <c r="O335" s="39" t="s">
        <v>39</v>
      </c>
    </row>
    <row r="336" spans="1:15" x14ac:dyDescent="0.3">
      <c r="A336" s="32" t="s">
        <v>311</v>
      </c>
      <c r="B336" s="33" t="s">
        <v>13</v>
      </c>
      <c r="C336" s="34">
        <v>45628</v>
      </c>
      <c r="D336" s="33" t="s">
        <v>14</v>
      </c>
      <c r="E336" s="33" t="s">
        <v>35</v>
      </c>
      <c r="F336" s="33"/>
      <c r="G336" s="33">
        <v>3194</v>
      </c>
      <c r="H336" s="33">
        <v>292</v>
      </c>
      <c r="I336" s="33">
        <v>245</v>
      </c>
      <c r="J336" s="33">
        <v>56371</v>
      </c>
      <c r="K336" s="33">
        <v>65597</v>
      </c>
      <c r="L336" s="33">
        <v>163</v>
      </c>
      <c r="M336" s="33" t="s">
        <v>16</v>
      </c>
      <c r="N336" s="44">
        <v>6.6186514342481101E-2</v>
      </c>
      <c r="O336" s="35" t="s">
        <v>36</v>
      </c>
    </row>
    <row r="337" spans="1:15" x14ac:dyDescent="0.3">
      <c r="A337" s="36" t="s">
        <v>306</v>
      </c>
      <c r="B337" s="37" t="s">
        <v>22</v>
      </c>
      <c r="C337" s="38">
        <v>45334</v>
      </c>
      <c r="D337" s="37" t="s">
        <v>14</v>
      </c>
      <c r="E337" s="37" t="s">
        <v>18</v>
      </c>
      <c r="F337" s="37"/>
      <c r="G337" s="37">
        <v>2691</v>
      </c>
      <c r="H337" s="37">
        <v>486</v>
      </c>
      <c r="I337" s="37">
        <v>206</v>
      </c>
      <c r="J337" s="37">
        <v>51133</v>
      </c>
      <c r="K337" s="37">
        <v>44583</v>
      </c>
      <c r="L337" s="37">
        <v>276</v>
      </c>
      <c r="M337" s="37" t="s">
        <v>16</v>
      </c>
      <c r="N337" s="45">
        <v>6.6160796354604604E-2</v>
      </c>
      <c r="O337" s="39" t="s">
        <v>36</v>
      </c>
    </row>
    <row r="338" spans="1:15" x14ac:dyDescent="0.3">
      <c r="A338" s="32" t="s">
        <v>226</v>
      </c>
      <c r="B338" s="33" t="s">
        <v>28</v>
      </c>
      <c r="C338" s="34">
        <v>45447</v>
      </c>
      <c r="D338" s="33" t="s">
        <v>51</v>
      </c>
      <c r="E338" s="33" t="s">
        <v>26</v>
      </c>
      <c r="F338" s="33"/>
      <c r="G338" s="33">
        <v>1211</v>
      </c>
      <c r="H338" s="33">
        <v>431</v>
      </c>
      <c r="I338" s="33">
        <v>83</v>
      </c>
      <c r="J338" s="33">
        <v>26532</v>
      </c>
      <c r="K338" s="33">
        <v>47305</v>
      </c>
      <c r="L338" s="33">
        <v>232</v>
      </c>
      <c r="M338" s="33" t="s">
        <v>52</v>
      </c>
      <c r="N338" s="44">
        <v>6.5015829941203099E-2</v>
      </c>
      <c r="O338" s="35" t="s">
        <v>19</v>
      </c>
    </row>
    <row r="339" spans="1:15" x14ac:dyDescent="0.3">
      <c r="A339" s="36" t="s">
        <v>226</v>
      </c>
      <c r="B339" s="37" t="s">
        <v>28</v>
      </c>
      <c r="C339" s="38">
        <v>45447</v>
      </c>
      <c r="D339" s="37" t="s">
        <v>51</v>
      </c>
      <c r="E339" s="37" t="s">
        <v>26</v>
      </c>
      <c r="F339" s="37"/>
      <c r="G339" s="37">
        <v>1211</v>
      </c>
      <c r="H339" s="37">
        <v>431</v>
      </c>
      <c r="I339" s="37">
        <v>83</v>
      </c>
      <c r="J339" s="37">
        <v>26532</v>
      </c>
      <c r="K339" s="37">
        <v>47305</v>
      </c>
      <c r="L339" s="37">
        <v>232</v>
      </c>
      <c r="M339" s="37" t="s">
        <v>52</v>
      </c>
      <c r="N339" s="45">
        <v>6.5015829941203099E-2</v>
      </c>
      <c r="O339" s="39" t="s">
        <v>39</v>
      </c>
    </row>
    <row r="340" spans="1:15" x14ac:dyDescent="0.3">
      <c r="A340" s="32" t="s">
        <v>268</v>
      </c>
      <c r="B340" s="33" t="s">
        <v>28</v>
      </c>
      <c r="C340" s="34">
        <v>45542</v>
      </c>
      <c r="D340" s="33" t="s">
        <v>14</v>
      </c>
      <c r="E340" s="33" t="s">
        <v>45</v>
      </c>
      <c r="F340" s="33"/>
      <c r="G340" s="33">
        <v>2101</v>
      </c>
      <c r="H340" s="33">
        <v>411</v>
      </c>
      <c r="I340" s="33">
        <v>190</v>
      </c>
      <c r="J340" s="33">
        <v>41791</v>
      </c>
      <c r="K340" s="33">
        <v>57090</v>
      </c>
      <c r="L340" s="33">
        <v>172</v>
      </c>
      <c r="M340" s="33" t="s">
        <v>20</v>
      </c>
      <c r="N340" s="44">
        <v>6.4655069273288499E-2</v>
      </c>
      <c r="O340" s="35" t="s">
        <v>19</v>
      </c>
    </row>
    <row r="341" spans="1:15" x14ac:dyDescent="0.3">
      <c r="A341" s="36" t="s">
        <v>268</v>
      </c>
      <c r="B341" s="37" t="s">
        <v>28</v>
      </c>
      <c r="C341" s="38">
        <v>45542</v>
      </c>
      <c r="D341" s="37" t="s">
        <v>14</v>
      </c>
      <c r="E341" s="37" t="s">
        <v>45</v>
      </c>
      <c r="F341" s="37"/>
      <c r="G341" s="37">
        <v>2101</v>
      </c>
      <c r="H341" s="37">
        <v>411</v>
      </c>
      <c r="I341" s="37">
        <v>190</v>
      </c>
      <c r="J341" s="37">
        <v>41791</v>
      </c>
      <c r="K341" s="37">
        <v>57090</v>
      </c>
      <c r="L341" s="37">
        <v>172</v>
      </c>
      <c r="M341" s="37" t="s">
        <v>20</v>
      </c>
      <c r="N341" s="45">
        <v>6.4655069273288499E-2</v>
      </c>
      <c r="O341" s="39" t="s">
        <v>354</v>
      </c>
    </row>
    <row r="342" spans="1:15" x14ac:dyDescent="0.3">
      <c r="A342" s="32" t="s">
        <v>50</v>
      </c>
      <c r="B342" s="33" t="s">
        <v>28</v>
      </c>
      <c r="C342" s="34">
        <v>45458</v>
      </c>
      <c r="D342" s="33" t="s">
        <v>51</v>
      </c>
      <c r="E342" s="33" t="s">
        <v>32</v>
      </c>
      <c r="F342" s="33"/>
      <c r="G342" s="33">
        <v>1751</v>
      </c>
      <c r="H342" s="33">
        <v>143</v>
      </c>
      <c r="I342" s="33">
        <v>151</v>
      </c>
      <c r="J342" s="33">
        <v>31826</v>
      </c>
      <c r="K342" s="33">
        <v>47729</v>
      </c>
      <c r="L342" s="33">
        <v>95</v>
      </c>
      <c r="M342" s="33" t="s">
        <v>52</v>
      </c>
      <c r="N342" s="44">
        <v>6.4255640042732404E-2</v>
      </c>
      <c r="O342" s="35" t="s">
        <v>19</v>
      </c>
    </row>
    <row r="343" spans="1:15" x14ac:dyDescent="0.3">
      <c r="A343" s="36" t="s">
        <v>50</v>
      </c>
      <c r="B343" s="37" t="s">
        <v>28</v>
      </c>
      <c r="C343" s="38">
        <v>45458</v>
      </c>
      <c r="D343" s="37" t="s">
        <v>51</v>
      </c>
      <c r="E343" s="37" t="s">
        <v>32</v>
      </c>
      <c r="F343" s="37"/>
      <c r="G343" s="37">
        <v>1751</v>
      </c>
      <c r="H343" s="37">
        <v>143</v>
      </c>
      <c r="I343" s="37">
        <v>151</v>
      </c>
      <c r="J343" s="37">
        <v>31826</v>
      </c>
      <c r="K343" s="37">
        <v>47729</v>
      </c>
      <c r="L343" s="37">
        <v>95</v>
      </c>
      <c r="M343" s="37" t="s">
        <v>52</v>
      </c>
      <c r="N343" s="45">
        <v>6.4255640042732404E-2</v>
      </c>
      <c r="O343" s="39" t="s">
        <v>39</v>
      </c>
    </row>
    <row r="344" spans="1:15" x14ac:dyDescent="0.3">
      <c r="A344" s="32" t="s">
        <v>126</v>
      </c>
      <c r="B344" s="33" t="s">
        <v>13</v>
      </c>
      <c r="C344" s="34">
        <v>45351</v>
      </c>
      <c r="D344" s="33" t="s">
        <v>14</v>
      </c>
      <c r="E344" s="33" t="s">
        <v>43</v>
      </c>
      <c r="F344" s="33"/>
      <c r="G344" s="33">
        <v>1100</v>
      </c>
      <c r="H344" s="33">
        <v>229</v>
      </c>
      <c r="I344" s="33">
        <v>312</v>
      </c>
      <c r="J344" s="33">
        <v>25641</v>
      </c>
      <c r="K344" s="33">
        <v>34601</v>
      </c>
      <c r="L344" s="33">
        <v>169</v>
      </c>
      <c r="M344" s="33" t="s">
        <v>20</v>
      </c>
      <c r="N344" s="44">
        <v>6.3999063999063993E-2</v>
      </c>
      <c r="O344" s="35" t="s">
        <v>19</v>
      </c>
    </row>
    <row r="345" spans="1:15" x14ac:dyDescent="0.3">
      <c r="A345" s="36" t="s">
        <v>69</v>
      </c>
      <c r="B345" s="37" t="s">
        <v>13</v>
      </c>
      <c r="C345" s="38">
        <v>45416</v>
      </c>
      <c r="D345" s="37" t="s">
        <v>14</v>
      </c>
      <c r="E345" s="37" t="s">
        <v>26</v>
      </c>
      <c r="F345" s="37"/>
      <c r="G345" s="37">
        <v>2274</v>
      </c>
      <c r="H345" s="37">
        <v>243</v>
      </c>
      <c r="I345" s="37">
        <v>222</v>
      </c>
      <c r="J345" s="37">
        <v>43066</v>
      </c>
      <c r="K345" s="37">
        <v>59174</v>
      </c>
      <c r="L345" s="37">
        <v>80</v>
      </c>
      <c r="M345" s="37" t="s">
        <v>20</v>
      </c>
      <c r="N345" s="45">
        <v>6.3600055728416802E-2</v>
      </c>
      <c r="O345" s="39" t="s">
        <v>19</v>
      </c>
    </row>
    <row r="346" spans="1:15" x14ac:dyDescent="0.3">
      <c r="A346" s="32" t="s">
        <v>234</v>
      </c>
      <c r="B346" s="33" t="s">
        <v>22</v>
      </c>
      <c r="C346" s="34">
        <v>45547</v>
      </c>
      <c r="D346" s="33" t="s">
        <v>23</v>
      </c>
      <c r="E346" s="33" t="s">
        <v>26</v>
      </c>
      <c r="F346" s="33"/>
      <c r="G346" s="33">
        <v>1839</v>
      </c>
      <c r="H346" s="33">
        <v>223</v>
      </c>
      <c r="I346" s="33">
        <v>171</v>
      </c>
      <c r="J346" s="33">
        <v>35459</v>
      </c>
      <c r="K346" s="33">
        <v>69988</v>
      </c>
      <c r="L346" s="33">
        <v>114</v>
      </c>
      <c r="M346" s="33" t="s">
        <v>16</v>
      </c>
      <c r="N346" s="44">
        <v>6.2974139146620006E-2</v>
      </c>
      <c r="O346" s="35" t="s">
        <v>355</v>
      </c>
    </row>
    <row r="347" spans="1:15" x14ac:dyDescent="0.3">
      <c r="A347" s="36" t="s">
        <v>234</v>
      </c>
      <c r="B347" s="37" t="s">
        <v>22</v>
      </c>
      <c r="C347" s="38">
        <v>45547</v>
      </c>
      <c r="D347" s="37" t="s">
        <v>23</v>
      </c>
      <c r="E347" s="37" t="s">
        <v>26</v>
      </c>
      <c r="F347" s="37"/>
      <c r="G347" s="37">
        <v>1839</v>
      </c>
      <c r="H347" s="37">
        <v>223</v>
      </c>
      <c r="I347" s="37">
        <v>171</v>
      </c>
      <c r="J347" s="37">
        <v>35459</v>
      </c>
      <c r="K347" s="37">
        <v>69988</v>
      </c>
      <c r="L347" s="37">
        <v>114</v>
      </c>
      <c r="M347" s="37" t="s">
        <v>16</v>
      </c>
      <c r="N347" s="45">
        <v>6.2974139146620006E-2</v>
      </c>
      <c r="O347" s="39" t="s">
        <v>36</v>
      </c>
    </row>
    <row r="348" spans="1:15" x14ac:dyDescent="0.3">
      <c r="A348" s="32" t="s">
        <v>217</v>
      </c>
      <c r="B348" s="33" t="s">
        <v>22</v>
      </c>
      <c r="C348" s="34">
        <v>45486</v>
      </c>
      <c r="D348" s="33" t="s">
        <v>23</v>
      </c>
      <c r="E348" s="33" t="s">
        <v>32</v>
      </c>
      <c r="F348" s="33"/>
      <c r="G348" s="33">
        <v>2408</v>
      </c>
      <c r="H348" s="33">
        <v>323</v>
      </c>
      <c r="I348" s="33">
        <v>251</v>
      </c>
      <c r="J348" s="33">
        <v>47599</v>
      </c>
      <c r="K348" s="33">
        <v>35543</v>
      </c>
      <c r="L348" s="33">
        <v>287</v>
      </c>
      <c r="M348" s="33" t="s">
        <v>16</v>
      </c>
      <c r="N348" s="44">
        <v>6.2648374965860607E-2</v>
      </c>
      <c r="O348" s="35" t="s">
        <v>355</v>
      </c>
    </row>
    <row r="349" spans="1:15" x14ac:dyDescent="0.3">
      <c r="A349" s="36" t="s">
        <v>217</v>
      </c>
      <c r="B349" s="37" t="s">
        <v>22</v>
      </c>
      <c r="C349" s="38">
        <v>45486</v>
      </c>
      <c r="D349" s="37" t="s">
        <v>23</v>
      </c>
      <c r="E349" s="37" t="s">
        <v>32</v>
      </c>
      <c r="F349" s="37"/>
      <c r="G349" s="37">
        <v>2408</v>
      </c>
      <c r="H349" s="37">
        <v>323</v>
      </c>
      <c r="I349" s="37">
        <v>251</v>
      </c>
      <c r="J349" s="37">
        <v>47599</v>
      </c>
      <c r="K349" s="37">
        <v>35543</v>
      </c>
      <c r="L349" s="37">
        <v>287</v>
      </c>
      <c r="M349" s="37" t="s">
        <v>16</v>
      </c>
      <c r="N349" s="45">
        <v>6.2648374965860607E-2</v>
      </c>
      <c r="O349" s="39" t="s">
        <v>36</v>
      </c>
    </row>
    <row r="350" spans="1:15" x14ac:dyDescent="0.3">
      <c r="A350" s="32" t="s">
        <v>138</v>
      </c>
      <c r="B350" s="33" t="s">
        <v>22</v>
      </c>
      <c r="C350" s="34">
        <v>45553</v>
      </c>
      <c r="D350" s="33" t="s">
        <v>14</v>
      </c>
      <c r="E350" s="33" t="s">
        <v>15</v>
      </c>
      <c r="F350" s="33"/>
      <c r="G350" s="33">
        <v>2878</v>
      </c>
      <c r="H350" s="33">
        <v>265</v>
      </c>
      <c r="I350" s="33">
        <v>91</v>
      </c>
      <c r="J350" s="33">
        <v>52090</v>
      </c>
      <c r="K350" s="33">
        <v>28924</v>
      </c>
      <c r="L350" s="33">
        <v>133</v>
      </c>
      <c r="M350" s="33" t="s">
        <v>16</v>
      </c>
      <c r="N350" s="44">
        <v>6.2084853138798198E-2</v>
      </c>
      <c r="O350" s="35" t="s">
        <v>36</v>
      </c>
    </row>
    <row r="351" spans="1:15" x14ac:dyDescent="0.3">
      <c r="A351" s="36" t="s">
        <v>300</v>
      </c>
      <c r="B351" s="37" t="s">
        <v>28</v>
      </c>
      <c r="C351" s="38">
        <v>45604</v>
      </c>
      <c r="D351" s="37" t="s">
        <v>14</v>
      </c>
      <c r="E351" s="37" t="s">
        <v>35</v>
      </c>
      <c r="F351" s="37"/>
      <c r="G351" s="37">
        <v>2471</v>
      </c>
      <c r="H351" s="37">
        <v>166</v>
      </c>
      <c r="I351" s="37">
        <v>320</v>
      </c>
      <c r="J351" s="37">
        <v>48254</v>
      </c>
      <c r="K351" s="37">
        <v>46900</v>
      </c>
      <c r="L351" s="37">
        <v>111</v>
      </c>
      <c r="M351" s="37" t="s">
        <v>20</v>
      </c>
      <c r="N351" s="45">
        <v>6.1279893894806599E-2</v>
      </c>
      <c r="O351" s="39" t="s">
        <v>19</v>
      </c>
    </row>
    <row r="352" spans="1:15" x14ac:dyDescent="0.3">
      <c r="A352" s="32" t="s">
        <v>300</v>
      </c>
      <c r="B352" s="33" t="s">
        <v>28</v>
      </c>
      <c r="C352" s="34">
        <v>45604</v>
      </c>
      <c r="D352" s="33" t="s">
        <v>14</v>
      </c>
      <c r="E352" s="33" t="s">
        <v>35</v>
      </c>
      <c r="F352" s="33"/>
      <c r="G352" s="33">
        <v>2471</v>
      </c>
      <c r="H352" s="33">
        <v>166</v>
      </c>
      <c r="I352" s="33">
        <v>320</v>
      </c>
      <c r="J352" s="33">
        <v>48254</v>
      </c>
      <c r="K352" s="33">
        <v>46900</v>
      </c>
      <c r="L352" s="33">
        <v>111</v>
      </c>
      <c r="M352" s="33" t="s">
        <v>20</v>
      </c>
      <c r="N352" s="44">
        <v>6.1279893894806599E-2</v>
      </c>
      <c r="O352" s="35" t="s">
        <v>354</v>
      </c>
    </row>
    <row r="353" spans="1:15" x14ac:dyDescent="0.3">
      <c r="A353" s="36" t="s">
        <v>120</v>
      </c>
      <c r="B353" s="37" t="s">
        <v>22</v>
      </c>
      <c r="C353" s="38">
        <v>45405</v>
      </c>
      <c r="D353" s="37" t="s">
        <v>23</v>
      </c>
      <c r="E353" s="37" t="s">
        <v>15</v>
      </c>
      <c r="F353" s="37"/>
      <c r="G353" s="37">
        <v>2683</v>
      </c>
      <c r="H353" s="37">
        <v>496</v>
      </c>
      <c r="I353" s="37">
        <v>89</v>
      </c>
      <c r="J353" s="37">
        <v>53435</v>
      </c>
      <c r="K353" s="37">
        <v>30334</v>
      </c>
      <c r="L353" s="37">
        <v>160</v>
      </c>
      <c r="M353" s="37" t="s">
        <v>16</v>
      </c>
      <c r="N353" s="45">
        <v>6.1158416768035899E-2</v>
      </c>
      <c r="O353" s="39" t="s">
        <v>39</v>
      </c>
    </row>
    <row r="354" spans="1:15" x14ac:dyDescent="0.3">
      <c r="A354" s="32" t="s">
        <v>120</v>
      </c>
      <c r="B354" s="33" t="s">
        <v>22</v>
      </c>
      <c r="C354" s="34">
        <v>45405</v>
      </c>
      <c r="D354" s="33" t="s">
        <v>23</v>
      </c>
      <c r="E354" s="33" t="s">
        <v>15</v>
      </c>
      <c r="F354" s="33"/>
      <c r="G354" s="33">
        <v>2683</v>
      </c>
      <c r="H354" s="33">
        <v>496</v>
      </c>
      <c r="I354" s="33">
        <v>89</v>
      </c>
      <c r="J354" s="33">
        <v>53435</v>
      </c>
      <c r="K354" s="33">
        <v>30334</v>
      </c>
      <c r="L354" s="33">
        <v>160</v>
      </c>
      <c r="M354" s="33" t="s">
        <v>16</v>
      </c>
      <c r="N354" s="44">
        <v>6.1158416768035899E-2</v>
      </c>
      <c r="O354" s="35" t="s">
        <v>36</v>
      </c>
    </row>
    <row r="355" spans="1:15" x14ac:dyDescent="0.3">
      <c r="A355" s="36" t="s">
        <v>331</v>
      </c>
      <c r="B355" s="37" t="s">
        <v>22</v>
      </c>
      <c r="C355" s="38">
        <v>45838</v>
      </c>
      <c r="D355" s="37" t="s">
        <v>14</v>
      </c>
      <c r="E355" s="37" t="s">
        <v>360</v>
      </c>
      <c r="F355" s="37" t="s">
        <v>361</v>
      </c>
      <c r="G355" s="37">
        <v>2275</v>
      </c>
      <c r="H355" s="37">
        <v>285</v>
      </c>
      <c r="I355" s="37">
        <v>125</v>
      </c>
      <c r="J355" s="37">
        <v>43970</v>
      </c>
      <c r="K355" s="37">
        <v>74761</v>
      </c>
      <c r="L355" s="37">
        <v>83</v>
      </c>
      <c r="M355" s="37" t="s">
        <v>16</v>
      </c>
      <c r="N355" s="45">
        <v>6.1064362065044397E-2</v>
      </c>
      <c r="O355" s="39" t="s">
        <v>36</v>
      </c>
    </row>
    <row r="356" spans="1:15" x14ac:dyDescent="0.3">
      <c r="A356" s="32" t="s">
        <v>177</v>
      </c>
      <c r="B356" s="33" t="s">
        <v>13</v>
      </c>
      <c r="C356" s="34">
        <v>45702</v>
      </c>
      <c r="D356" s="33" t="s">
        <v>14</v>
      </c>
      <c r="E356" s="33" t="s">
        <v>15</v>
      </c>
      <c r="F356" s="33"/>
      <c r="G356" s="33">
        <v>2329</v>
      </c>
      <c r="H356" s="33">
        <v>373</v>
      </c>
      <c r="I356" s="33">
        <v>291</v>
      </c>
      <c r="J356" s="33">
        <v>49577</v>
      </c>
      <c r="K356" s="33">
        <v>28002</v>
      </c>
      <c r="L356" s="33">
        <v>82</v>
      </c>
      <c r="M356" s="33" t="s">
        <v>16</v>
      </c>
      <c r="N356" s="44">
        <v>6.0370736430199502E-2</v>
      </c>
      <c r="O356" s="35" t="s">
        <v>39</v>
      </c>
    </row>
    <row r="357" spans="1:15" x14ac:dyDescent="0.3">
      <c r="A357" s="36" t="s">
        <v>177</v>
      </c>
      <c r="B357" s="37" t="s">
        <v>13</v>
      </c>
      <c r="C357" s="38">
        <v>45702</v>
      </c>
      <c r="D357" s="37" t="s">
        <v>14</v>
      </c>
      <c r="E357" s="37" t="s">
        <v>15</v>
      </c>
      <c r="F357" s="37"/>
      <c r="G357" s="37">
        <v>2329</v>
      </c>
      <c r="H357" s="37">
        <v>373</v>
      </c>
      <c r="I357" s="37">
        <v>291</v>
      </c>
      <c r="J357" s="37">
        <v>49577</v>
      </c>
      <c r="K357" s="37">
        <v>28002</v>
      </c>
      <c r="L357" s="37">
        <v>82</v>
      </c>
      <c r="M357" s="37" t="s">
        <v>16</v>
      </c>
      <c r="N357" s="45">
        <v>6.0370736430199502E-2</v>
      </c>
      <c r="O357" s="39" t="s">
        <v>36</v>
      </c>
    </row>
    <row r="358" spans="1:15" x14ac:dyDescent="0.3">
      <c r="A358" s="32" t="s">
        <v>118</v>
      </c>
      <c r="B358" s="33" t="s">
        <v>13</v>
      </c>
      <c r="C358" s="34">
        <v>45522</v>
      </c>
      <c r="D358" s="33" t="s">
        <v>14</v>
      </c>
      <c r="E358" s="33" t="s">
        <v>18</v>
      </c>
      <c r="F358" s="33"/>
      <c r="G358" s="33">
        <v>2965</v>
      </c>
      <c r="H358" s="33">
        <v>328</v>
      </c>
      <c r="I358" s="33">
        <v>171</v>
      </c>
      <c r="J358" s="33">
        <v>57685</v>
      </c>
      <c r="K358" s="33">
        <v>67536</v>
      </c>
      <c r="L358" s="33">
        <v>264</v>
      </c>
      <c r="M358" s="33" t="s">
        <v>16</v>
      </c>
      <c r="N358" s="44">
        <v>6.0050273034584399E-2</v>
      </c>
      <c r="O358" s="35" t="s">
        <v>39</v>
      </c>
    </row>
    <row r="359" spans="1:15" x14ac:dyDescent="0.3">
      <c r="A359" s="36" t="s">
        <v>118</v>
      </c>
      <c r="B359" s="37" t="s">
        <v>13</v>
      </c>
      <c r="C359" s="38">
        <v>45522</v>
      </c>
      <c r="D359" s="37" t="s">
        <v>14</v>
      </c>
      <c r="E359" s="37" t="s">
        <v>18</v>
      </c>
      <c r="F359" s="37"/>
      <c r="G359" s="37">
        <v>2965</v>
      </c>
      <c r="H359" s="37">
        <v>328</v>
      </c>
      <c r="I359" s="37">
        <v>171</v>
      </c>
      <c r="J359" s="37">
        <v>57685</v>
      </c>
      <c r="K359" s="37">
        <v>67536</v>
      </c>
      <c r="L359" s="37">
        <v>264</v>
      </c>
      <c r="M359" s="37" t="s">
        <v>16</v>
      </c>
      <c r="N359" s="45">
        <v>6.0050273034584399E-2</v>
      </c>
      <c r="O359" s="39" t="s">
        <v>36</v>
      </c>
    </row>
    <row r="360" spans="1:15" x14ac:dyDescent="0.3">
      <c r="A360" s="32" t="s">
        <v>330</v>
      </c>
      <c r="B360" s="33" t="s">
        <v>22</v>
      </c>
      <c r="C360" s="34">
        <v>45612</v>
      </c>
      <c r="D360" s="33" t="s">
        <v>14</v>
      </c>
      <c r="E360" s="33" t="s">
        <v>18</v>
      </c>
      <c r="F360" s="33"/>
      <c r="G360" s="33">
        <v>2901</v>
      </c>
      <c r="H360" s="33">
        <v>108</v>
      </c>
      <c r="I360" s="33">
        <v>86</v>
      </c>
      <c r="J360" s="33">
        <v>51777</v>
      </c>
      <c r="K360" s="33">
        <v>23773</v>
      </c>
      <c r="L360" s="33">
        <v>160</v>
      </c>
      <c r="M360" s="33" t="s">
        <v>20</v>
      </c>
      <c r="N360" s="44">
        <v>5.9775576027966099E-2</v>
      </c>
      <c r="O360" s="35" t="s">
        <v>39</v>
      </c>
    </row>
    <row r="361" spans="1:15" x14ac:dyDescent="0.3">
      <c r="A361" s="36" t="s">
        <v>187</v>
      </c>
      <c r="B361" s="37" t="s">
        <v>13</v>
      </c>
      <c r="C361" s="38">
        <v>45615</v>
      </c>
      <c r="D361" s="37" t="s">
        <v>14</v>
      </c>
      <c r="E361" s="37" t="s">
        <v>360</v>
      </c>
      <c r="F361" s="37" t="s">
        <v>361</v>
      </c>
      <c r="G361" s="37">
        <v>2525</v>
      </c>
      <c r="H361" s="37">
        <v>272</v>
      </c>
      <c r="I361" s="37">
        <v>294</v>
      </c>
      <c r="J361" s="37">
        <v>51875</v>
      </c>
      <c r="K361" s="37">
        <v>24732</v>
      </c>
      <c r="L361" s="37">
        <v>92</v>
      </c>
      <c r="M361" s="37" t="s">
        <v>20</v>
      </c>
      <c r="N361" s="45">
        <v>5.9585542168674697E-2</v>
      </c>
      <c r="O361" s="39" t="s">
        <v>19</v>
      </c>
    </row>
    <row r="362" spans="1:15" x14ac:dyDescent="0.3">
      <c r="A362" s="32" t="s">
        <v>115</v>
      </c>
      <c r="B362" s="33" t="s">
        <v>13</v>
      </c>
      <c r="C362" s="34">
        <v>45530</v>
      </c>
      <c r="D362" s="33" t="s">
        <v>14</v>
      </c>
      <c r="E362" s="33" t="s">
        <v>45</v>
      </c>
      <c r="F362" s="33"/>
      <c r="G362" s="33">
        <v>2102</v>
      </c>
      <c r="H362" s="33">
        <v>181</v>
      </c>
      <c r="I362" s="33">
        <v>306</v>
      </c>
      <c r="J362" s="33">
        <v>43650</v>
      </c>
      <c r="K362" s="33">
        <v>50079</v>
      </c>
      <c r="L362" s="33">
        <v>182</v>
      </c>
      <c r="M362" s="33" t="s">
        <v>20</v>
      </c>
      <c r="N362" s="44">
        <v>5.9312714776632303E-2</v>
      </c>
      <c r="O362" s="35" t="s">
        <v>19</v>
      </c>
    </row>
    <row r="363" spans="1:15" x14ac:dyDescent="0.3">
      <c r="A363" s="36" t="s">
        <v>156</v>
      </c>
      <c r="B363" s="37" t="s">
        <v>28</v>
      </c>
      <c r="C363" s="38">
        <v>45424</v>
      </c>
      <c r="D363" s="37" t="s">
        <v>14</v>
      </c>
      <c r="E363" s="37" t="s">
        <v>43</v>
      </c>
      <c r="F363" s="37"/>
      <c r="G363" s="37">
        <v>2911</v>
      </c>
      <c r="H363" s="37">
        <v>467</v>
      </c>
      <c r="I363" s="37">
        <v>94</v>
      </c>
      <c r="J363" s="37">
        <v>59083</v>
      </c>
      <c r="K363" s="37">
        <v>49762</v>
      </c>
      <c r="L363" s="37">
        <v>236</v>
      </c>
      <c r="M363" s="37" t="s">
        <v>20</v>
      </c>
      <c r="N363" s="45">
        <v>5.8764788517847798E-2</v>
      </c>
      <c r="O363" s="39" t="s">
        <v>19</v>
      </c>
    </row>
    <row r="364" spans="1:15" x14ac:dyDescent="0.3">
      <c r="A364" s="32" t="s">
        <v>156</v>
      </c>
      <c r="B364" s="33" t="s">
        <v>28</v>
      </c>
      <c r="C364" s="34">
        <v>45424</v>
      </c>
      <c r="D364" s="33" t="s">
        <v>14</v>
      </c>
      <c r="E364" s="33" t="s">
        <v>43</v>
      </c>
      <c r="F364" s="33"/>
      <c r="G364" s="33">
        <v>2911</v>
      </c>
      <c r="H364" s="33">
        <v>467</v>
      </c>
      <c r="I364" s="33">
        <v>94</v>
      </c>
      <c r="J364" s="33">
        <v>59083</v>
      </c>
      <c r="K364" s="33">
        <v>49762</v>
      </c>
      <c r="L364" s="33">
        <v>236</v>
      </c>
      <c r="M364" s="33" t="s">
        <v>20</v>
      </c>
      <c r="N364" s="44">
        <v>5.8764788517847798E-2</v>
      </c>
      <c r="O364" s="35" t="s">
        <v>354</v>
      </c>
    </row>
    <row r="365" spans="1:15" x14ac:dyDescent="0.3">
      <c r="A365" s="36" t="s">
        <v>86</v>
      </c>
      <c r="B365" s="37" t="s">
        <v>22</v>
      </c>
      <c r="C365" s="38">
        <v>45516</v>
      </c>
      <c r="D365" s="37" t="s">
        <v>23</v>
      </c>
      <c r="E365" s="37" t="s">
        <v>360</v>
      </c>
      <c r="F365" s="37" t="s">
        <v>361</v>
      </c>
      <c r="G365" s="37">
        <v>2842</v>
      </c>
      <c r="H365" s="37">
        <v>213</v>
      </c>
      <c r="I365" s="37">
        <v>331</v>
      </c>
      <c r="J365" s="37">
        <v>57660</v>
      </c>
      <c r="K365" s="37">
        <v>68606</v>
      </c>
      <c r="L365" s="37">
        <v>87</v>
      </c>
      <c r="M365" s="37" t="s">
        <v>16</v>
      </c>
      <c r="N365" s="45">
        <v>5.8723551855705901E-2</v>
      </c>
      <c r="O365" s="39" t="s">
        <v>355</v>
      </c>
    </row>
    <row r="366" spans="1:15" x14ac:dyDescent="0.3">
      <c r="A366" s="32" t="s">
        <v>86</v>
      </c>
      <c r="B366" s="33" t="s">
        <v>22</v>
      </c>
      <c r="C366" s="34">
        <v>45516</v>
      </c>
      <c r="D366" s="33" t="s">
        <v>23</v>
      </c>
      <c r="E366" s="33" t="s">
        <v>360</v>
      </c>
      <c r="F366" s="33" t="s">
        <v>361</v>
      </c>
      <c r="G366" s="33">
        <v>2842</v>
      </c>
      <c r="H366" s="33">
        <v>213</v>
      </c>
      <c r="I366" s="33">
        <v>331</v>
      </c>
      <c r="J366" s="33">
        <v>57660</v>
      </c>
      <c r="K366" s="33">
        <v>68606</v>
      </c>
      <c r="L366" s="33">
        <v>87</v>
      </c>
      <c r="M366" s="33" t="s">
        <v>16</v>
      </c>
      <c r="N366" s="44">
        <v>5.8723551855705901E-2</v>
      </c>
      <c r="O366" s="35" t="s">
        <v>36</v>
      </c>
    </row>
    <row r="367" spans="1:15" x14ac:dyDescent="0.3">
      <c r="A367" s="36" t="s">
        <v>324</v>
      </c>
      <c r="B367" s="37" t="s">
        <v>13</v>
      </c>
      <c r="C367" s="38">
        <v>45472</v>
      </c>
      <c r="D367" s="37" t="s">
        <v>14</v>
      </c>
      <c r="E367" s="37" t="s">
        <v>45</v>
      </c>
      <c r="F367" s="37"/>
      <c r="G367" s="37">
        <v>2088</v>
      </c>
      <c r="H367" s="37">
        <v>490</v>
      </c>
      <c r="I367" s="37">
        <v>124</v>
      </c>
      <c r="J367" s="37">
        <v>46544</v>
      </c>
      <c r="K367" s="37">
        <v>69346</v>
      </c>
      <c r="L367" s="37">
        <v>178</v>
      </c>
      <c r="M367" s="37" t="s">
        <v>16</v>
      </c>
      <c r="N367" s="45">
        <v>5.8052595393606E-2</v>
      </c>
      <c r="O367" s="39" t="s">
        <v>39</v>
      </c>
    </row>
    <row r="368" spans="1:15" x14ac:dyDescent="0.3">
      <c r="A368" s="32" t="s">
        <v>324</v>
      </c>
      <c r="B368" s="33" t="s">
        <v>13</v>
      </c>
      <c r="C368" s="34">
        <v>45472</v>
      </c>
      <c r="D368" s="33" t="s">
        <v>14</v>
      </c>
      <c r="E368" s="33" t="s">
        <v>45</v>
      </c>
      <c r="F368" s="33"/>
      <c r="G368" s="33">
        <v>2088</v>
      </c>
      <c r="H368" s="33">
        <v>490</v>
      </c>
      <c r="I368" s="33">
        <v>124</v>
      </c>
      <c r="J368" s="33">
        <v>46544</v>
      </c>
      <c r="K368" s="33">
        <v>69346</v>
      </c>
      <c r="L368" s="33">
        <v>178</v>
      </c>
      <c r="M368" s="33" t="s">
        <v>16</v>
      </c>
      <c r="N368" s="44">
        <v>5.8052595393606E-2</v>
      </c>
      <c r="O368" s="35" t="s">
        <v>36</v>
      </c>
    </row>
    <row r="369" spans="1:15" x14ac:dyDescent="0.3">
      <c r="A369" s="36" t="s">
        <v>152</v>
      </c>
      <c r="B369" s="37" t="s">
        <v>22</v>
      </c>
      <c r="C369" s="38">
        <v>45806</v>
      </c>
      <c r="D369" s="37" t="s">
        <v>23</v>
      </c>
      <c r="E369" s="37" t="s">
        <v>29</v>
      </c>
      <c r="F369" s="37"/>
      <c r="G369" s="37">
        <v>2134</v>
      </c>
      <c r="H369" s="37">
        <v>322</v>
      </c>
      <c r="I369" s="37">
        <v>114</v>
      </c>
      <c r="J369" s="37">
        <v>44338</v>
      </c>
      <c r="K369" s="37">
        <v>52165</v>
      </c>
      <c r="L369" s="37">
        <v>176</v>
      </c>
      <c r="M369" s="37" t="s">
        <v>16</v>
      </c>
      <c r="N369" s="45">
        <v>5.7963823356939899E-2</v>
      </c>
      <c r="O369" s="39" t="s">
        <v>355</v>
      </c>
    </row>
    <row r="370" spans="1:15" x14ac:dyDescent="0.3">
      <c r="A370" s="32" t="s">
        <v>152</v>
      </c>
      <c r="B370" s="33" t="s">
        <v>22</v>
      </c>
      <c r="C370" s="34">
        <v>45806</v>
      </c>
      <c r="D370" s="33" t="s">
        <v>23</v>
      </c>
      <c r="E370" s="33" t="s">
        <v>29</v>
      </c>
      <c r="F370" s="33"/>
      <c r="G370" s="33">
        <v>2134</v>
      </c>
      <c r="H370" s="33">
        <v>322</v>
      </c>
      <c r="I370" s="33">
        <v>114</v>
      </c>
      <c r="J370" s="33">
        <v>44338</v>
      </c>
      <c r="K370" s="33">
        <v>52165</v>
      </c>
      <c r="L370" s="33">
        <v>176</v>
      </c>
      <c r="M370" s="33" t="s">
        <v>16</v>
      </c>
      <c r="N370" s="44">
        <v>5.7963823356939899E-2</v>
      </c>
      <c r="O370" s="35" t="s">
        <v>36</v>
      </c>
    </row>
    <row r="371" spans="1:15" x14ac:dyDescent="0.3">
      <c r="A371" s="36" t="s">
        <v>309</v>
      </c>
      <c r="B371" s="37" t="s">
        <v>22</v>
      </c>
      <c r="C371" s="38">
        <v>45720</v>
      </c>
      <c r="D371" s="37" t="s">
        <v>14</v>
      </c>
      <c r="E371" s="37" t="s">
        <v>15</v>
      </c>
      <c r="F371" s="37"/>
      <c r="G371" s="37">
        <v>2177</v>
      </c>
      <c r="H371" s="37">
        <v>258</v>
      </c>
      <c r="I371" s="37">
        <v>292</v>
      </c>
      <c r="J371" s="37">
        <v>47276</v>
      </c>
      <c r="K371" s="37">
        <v>51324</v>
      </c>
      <c r="L371" s="37">
        <v>143</v>
      </c>
      <c r="M371" s="37" t="s">
        <v>16</v>
      </c>
      <c r="N371" s="45">
        <v>5.7682545054573202E-2</v>
      </c>
      <c r="O371" s="39" t="s">
        <v>36</v>
      </c>
    </row>
    <row r="372" spans="1:15" x14ac:dyDescent="0.3">
      <c r="A372" s="32" t="s">
        <v>288</v>
      </c>
      <c r="B372" s="33" t="s">
        <v>22</v>
      </c>
      <c r="C372" s="34">
        <v>45385</v>
      </c>
      <c r="D372" s="33" t="s">
        <v>23</v>
      </c>
      <c r="E372" s="33" t="s">
        <v>35</v>
      </c>
      <c r="F372" s="33"/>
      <c r="G372" s="33">
        <v>2291</v>
      </c>
      <c r="H372" s="33">
        <v>146</v>
      </c>
      <c r="I372" s="33">
        <v>399</v>
      </c>
      <c r="J372" s="33">
        <v>49319</v>
      </c>
      <c r="K372" s="33">
        <v>28056</v>
      </c>
      <c r="L372" s="33">
        <v>90</v>
      </c>
      <c r="M372" s="33" t="s">
        <v>16</v>
      </c>
      <c r="N372" s="44">
        <v>5.7503193495407397E-2</v>
      </c>
      <c r="O372" s="35" t="s">
        <v>19</v>
      </c>
    </row>
    <row r="373" spans="1:15" x14ac:dyDescent="0.3">
      <c r="A373" s="36" t="s">
        <v>288</v>
      </c>
      <c r="B373" s="37" t="s">
        <v>22</v>
      </c>
      <c r="C373" s="38">
        <v>45385</v>
      </c>
      <c r="D373" s="37" t="s">
        <v>23</v>
      </c>
      <c r="E373" s="37" t="s">
        <v>35</v>
      </c>
      <c r="F373" s="37"/>
      <c r="G373" s="37">
        <v>2291</v>
      </c>
      <c r="H373" s="37">
        <v>146</v>
      </c>
      <c r="I373" s="37">
        <v>399</v>
      </c>
      <c r="J373" s="37">
        <v>49319</v>
      </c>
      <c r="K373" s="37">
        <v>28056</v>
      </c>
      <c r="L373" s="37">
        <v>90</v>
      </c>
      <c r="M373" s="37" t="s">
        <v>16</v>
      </c>
      <c r="N373" s="45">
        <v>5.7503193495407397E-2</v>
      </c>
      <c r="O373" s="39" t="s">
        <v>355</v>
      </c>
    </row>
    <row r="374" spans="1:15" x14ac:dyDescent="0.3">
      <c r="A374" s="32" t="s">
        <v>208</v>
      </c>
      <c r="B374" s="33" t="s">
        <v>22</v>
      </c>
      <c r="C374" s="34">
        <v>45748</v>
      </c>
      <c r="D374" s="33" t="s">
        <v>23</v>
      </c>
      <c r="E374" s="33" t="s">
        <v>29</v>
      </c>
      <c r="F374" s="33"/>
      <c r="G374" s="33">
        <v>2665</v>
      </c>
      <c r="H374" s="33">
        <v>143</v>
      </c>
      <c r="I374" s="33">
        <v>315</v>
      </c>
      <c r="J374" s="33">
        <v>54808</v>
      </c>
      <c r="K374" s="33">
        <v>29818</v>
      </c>
      <c r="L374" s="33">
        <v>98</v>
      </c>
      <c r="M374" s="33" t="s">
        <v>16</v>
      </c>
      <c r="N374" s="44">
        <v>5.6980732739746E-2</v>
      </c>
      <c r="O374" s="35" t="s">
        <v>19</v>
      </c>
    </row>
    <row r="375" spans="1:15" x14ac:dyDescent="0.3">
      <c r="A375" s="36" t="s">
        <v>208</v>
      </c>
      <c r="B375" s="37" t="s">
        <v>22</v>
      </c>
      <c r="C375" s="38">
        <v>45748</v>
      </c>
      <c r="D375" s="37" t="s">
        <v>23</v>
      </c>
      <c r="E375" s="37" t="s">
        <v>29</v>
      </c>
      <c r="F375" s="37"/>
      <c r="G375" s="37">
        <v>2665</v>
      </c>
      <c r="H375" s="37">
        <v>143</v>
      </c>
      <c r="I375" s="37">
        <v>315</v>
      </c>
      <c r="J375" s="37">
        <v>54808</v>
      </c>
      <c r="K375" s="37">
        <v>29818</v>
      </c>
      <c r="L375" s="37">
        <v>98</v>
      </c>
      <c r="M375" s="37" t="s">
        <v>16</v>
      </c>
      <c r="N375" s="45">
        <v>5.6980732739746E-2</v>
      </c>
      <c r="O375" s="39" t="s">
        <v>355</v>
      </c>
    </row>
    <row r="376" spans="1:15" x14ac:dyDescent="0.3">
      <c r="A376" s="32" t="s">
        <v>227</v>
      </c>
      <c r="B376" s="33" t="s">
        <v>22</v>
      </c>
      <c r="C376" s="34">
        <v>45422</v>
      </c>
      <c r="D376" s="33" t="s">
        <v>23</v>
      </c>
      <c r="E376" s="33" t="s">
        <v>18</v>
      </c>
      <c r="F376" s="33"/>
      <c r="G376" s="33">
        <v>2784</v>
      </c>
      <c r="H376" s="33">
        <v>111</v>
      </c>
      <c r="I376" s="33">
        <v>399</v>
      </c>
      <c r="J376" s="33">
        <v>58366</v>
      </c>
      <c r="K376" s="33">
        <v>69512</v>
      </c>
      <c r="L376" s="33">
        <v>269</v>
      </c>
      <c r="M376" s="33" t="s">
        <v>16</v>
      </c>
      <c r="N376" s="44">
        <v>5.6436966727204198E-2</v>
      </c>
      <c r="O376" s="35" t="s">
        <v>355</v>
      </c>
    </row>
    <row r="377" spans="1:15" x14ac:dyDescent="0.3">
      <c r="A377" s="36" t="s">
        <v>227</v>
      </c>
      <c r="B377" s="37" t="s">
        <v>22</v>
      </c>
      <c r="C377" s="38">
        <v>45422</v>
      </c>
      <c r="D377" s="37" t="s">
        <v>23</v>
      </c>
      <c r="E377" s="37" t="s">
        <v>18</v>
      </c>
      <c r="F377" s="37"/>
      <c r="G377" s="37">
        <v>2784</v>
      </c>
      <c r="H377" s="37">
        <v>111</v>
      </c>
      <c r="I377" s="37">
        <v>399</v>
      </c>
      <c r="J377" s="37">
        <v>58366</v>
      </c>
      <c r="K377" s="37">
        <v>69512</v>
      </c>
      <c r="L377" s="37">
        <v>269</v>
      </c>
      <c r="M377" s="37" t="s">
        <v>16</v>
      </c>
      <c r="N377" s="45">
        <v>5.6436966727204198E-2</v>
      </c>
      <c r="O377" s="39" t="s">
        <v>36</v>
      </c>
    </row>
    <row r="378" spans="1:15" x14ac:dyDescent="0.3">
      <c r="A378" s="32" t="s">
        <v>332</v>
      </c>
      <c r="B378" s="33" t="s">
        <v>22</v>
      </c>
      <c r="C378" s="34">
        <v>45303</v>
      </c>
      <c r="D378" s="33" t="s">
        <v>23</v>
      </c>
      <c r="E378" s="33" t="s">
        <v>26</v>
      </c>
      <c r="F378" s="33"/>
      <c r="G378" s="33">
        <v>2227</v>
      </c>
      <c r="H378" s="33">
        <v>494</v>
      </c>
      <c r="I378" s="33">
        <v>161</v>
      </c>
      <c r="J378" s="33">
        <v>51651</v>
      </c>
      <c r="K378" s="33">
        <v>68074</v>
      </c>
      <c r="L378" s="33">
        <v>240</v>
      </c>
      <c r="M378" s="33" t="s">
        <v>16</v>
      </c>
      <c r="N378" s="44">
        <v>5.5797564422760397E-2</v>
      </c>
      <c r="O378" s="35" t="s">
        <v>19</v>
      </c>
    </row>
    <row r="379" spans="1:15" x14ac:dyDescent="0.3">
      <c r="A379" s="36" t="s">
        <v>332</v>
      </c>
      <c r="B379" s="37" t="s">
        <v>22</v>
      </c>
      <c r="C379" s="38">
        <v>45303</v>
      </c>
      <c r="D379" s="37" t="s">
        <v>23</v>
      </c>
      <c r="E379" s="37" t="s">
        <v>26</v>
      </c>
      <c r="F379" s="37"/>
      <c r="G379" s="37">
        <v>2227</v>
      </c>
      <c r="H379" s="37">
        <v>494</v>
      </c>
      <c r="I379" s="37">
        <v>161</v>
      </c>
      <c r="J379" s="37">
        <v>51651</v>
      </c>
      <c r="K379" s="37">
        <v>68074</v>
      </c>
      <c r="L379" s="37">
        <v>240</v>
      </c>
      <c r="M379" s="37" t="s">
        <v>16</v>
      </c>
      <c r="N379" s="45">
        <v>5.5797564422760397E-2</v>
      </c>
      <c r="O379" s="39" t="s">
        <v>355</v>
      </c>
    </row>
    <row r="380" spans="1:15" x14ac:dyDescent="0.3">
      <c r="A380" s="32" t="s">
        <v>297</v>
      </c>
      <c r="B380" s="33" t="s">
        <v>28</v>
      </c>
      <c r="C380" s="34">
        <v>45808</v>
      </c>
      <c r="D380" s="33" t="s">
        <v>51</v>
      </c>
      <c r="E380" s="33" t="s">
        <v>32</v>
      </c>
      <c r="F380" s="33"/>
      <c r="G380" s="33">
        <v>2162</v>
      </c>
      <c r="H380" s="33">
        <v>318</v>
      </c>
      <c r="I380" s="33">
        <v>83</v>
      </c>
      <c r="J380" s="33">
        <v>46719</v>
      </c>
      <c r="K380" s="33">
        <v>20482</v>
      </c>
      <c r="L380" s="33">
        <v>185</v>
      </c>
      <c r="M380" s="33" t="s">
        <v>52</v>
      </c>
      <c r="N380" s="44">
        <v>5.4859907104176001E-2</v>
      </c>
      <c r="O380" s="35" t="s">
        <v>19</v>
      </c>
    </row>
    <row r="381" spans="1:15" x14ac:dyDescent="0.3">
      <c r="A381" s="36" t="s">
        <v>297</v>
      </c>
      <c r="B381" s="37" t="s">
        <v>28</v>
      </c>
      <c r="C381" s="38">
        <v>45808</v>
      </c>
      <c r="D381" s="37" t="s">
        <v>51</v>
      </c>
      <c r="E381" s="37" t="s">
        <v>32</v>
      </c>
      <c r="F381" s="37"/>
      <c r="G381" s="37">
        <v>2162</v>
      </c>
      <c r="H381" s="37">
        <v>318</v>
      </c>
      <c r="I381" s="37">
        <v>83</v>
      </c>
      <c r="J381" s="37">
        <v>46719</v>
      </c>
      <c r="K381" s="37">
        <v>20482</v>
      </c>
      <c r="L381" s="37">
        <v>185</v>
      </c>
      <c r="M381" s="37" t="s">
        <v>52</v>
      </c>
      <c r="N381" s="45">
        <v>5.4859907104176001E-2</v>
      </c>
      <c r="O381" s="39" t="s">
        <v>39</v>
      </c>
    </row>
    <row r="382" spans="1:15" x14ac:dyDescent="0.3">
      <c r="A382" s="32" t="s">
        <v>307</v>
      </c>
      <c r="B382" s="33" t="s">
        <v>13</v>
      </c>
      <c r="C382" s="34">
        <v>45573</v>
      </c>
      <c r="D382" s="33" t="s">
        <v>14</v>
      </c>
      <c r="E382" s="33" t="s">
        <v>18</v>
      </c>
      <c r="F382" s="33"/>
      <c r="G382" s="33">
        <v>2110</v>
      </c>
      <c r="H382" s="33">
        <v>384</v>
      </c>
      <c r="I382" s="33">
        <v>236</v>
      </c>
      <c r="J382" s="33">
        <v>49965</v>
      </c>
      <c r="K382" s="33">
        <v>61555</v>
      </c>
      <c r="L382" s="33">
        <v>195</v>
      </c>
      <c r="M382" s="33" t="s">
        <v>20</v>
      </c>
      <c r="N382" s="44">
        <v>5.46382467727409E-2</v>
      </c>
      <c r="O382" s="35" t="s">
        <v>19</v>
      </c>
    </row>
    <row r="383" spans="1:15" x14ac:dyDescent="0.3">
      <c r="A383" s="36" t="s">
        <v>164</v>
      </c>
      <c r="B383" s="37" t="s">
        <v>22</v>
      </c>
      <c r="C383" s="38">
        <v>45736</v>
      </c>
      <c r="D383" s="37" t="s">
        <v>14</v>
      </c>
      <c r="E383" s="37" t="s">
        <v>45</v>
      </c>
      <c r="F383" s="37"/>
      <c r="G383" s="37">
        <v>1564</v>
      </c>
      <c r="H383" s="37">
        <v>362</v>
      </c>
      <c r="I383" s="37">
        <v>371</v>
      </c>
      <c r="J383" s="37">
        <v>42075</v>
      </c>
      <c r="K383" s="37">
        <v>66659</v>
      </c>
      <c r="L383" s="37">
        <v>205</v>
      </c>
      <c r="M383" s="37" t="s">
        <v>20</v>
      </c>
      <c r="N383" s="45">
        <v>5.4592988710635802E-2</v>
      </c>
      <c r="O383" s="39" t="s">
        <v>39</v>
      </c>
    </row>
    <row r="384" spans="1:15" x14ac:dyDescent="0.3">
      <c r="A384" s="32" t="s">
        <v>315</v>
      </c>
      <c r="B384" s="33" t="s">
        <v>22</v>
      </c>
      <c r="C384" s="34">
        <v>45343</v>
      </c>
      <c r="D384" s="33" t="s">
        <v>23</v>
      </c>
      <c r="E384" s="33" t="s">
        <v>32</v>
      </c>
      <c r="F384" s="33"/>
      <c r="G384" s="33">
        <v>2604</v>
      </c>
      <c r="H384" s="33">
        <v>439</v>
      </c>
      <c r="I384" s="33">
        <v>148</v>
      </c>
      <c r="J384" s="33">
        <v>58468</v>
      </c>
      <c r="K384" s="33">
        <v>39629</v>
      </c>
      <c r="L384" s="33">
        <v>163</v>
      </c>
      <c r="M384" s="33" t="s">
        <v>16</v>
      </c>
      <c r="N384" s="44">
        <v>5.4576862557296303E-2</v>
      </c>
      <c r="O384" s="35" t="s">
        <v>355</v>
      </c>
    </row>
    <row r="385" spans="1:15" x14ac:dyDescent="0.3">
      <c r="A385" s="36" t="s">
        <v>315</v>
      </c>
      <c r="B385" s="37" t="s">
        <v>22</v>
      </c>
      <c r="C385" s="38">
        <v>45343</v>
      </c>
      <c r="D385" s="37" t="s">
        <v>23</v>
      </c>
      <c r="E385" s="37" t="s">
        <v>32</v>
      </c>
      <c r="F385" s="37"/>
      <c r="G385" s="37">
        <v>2604</v>
      </c>
      <c r="H385" s="37">
        <v>439</v>
      </c>
      <c r="I385" s="37">
        <v>148</v>
      </c>
      <c r="J385" s="37">
        <v>58468</v>
      </c>
      <c r="K385" s="37">
        <v>39629</v>
      </c>
      <c r="L385" s="37">
        <v>163</v>
      </c>
      <c r="M385" s="37" t="s">
        <v>16</v>
      </c>
      <c r="N385" s="45">
        <v>5.4576862557296303E-2</v>
      </c>
      <c r="O385" s="39" t="s">
        <v>36</v>
      </c>
    </row>
    <row r="386" spans="1:15" x14ac:dyDescent="0.3">
      <c r="A386" s="32" t="s">
        <v>296</v>
      </c>
      <c r="B386" s="33" t="s">
        <v>28</v>
      </c>
      <c r="C386" s="34">
        <v>45378</v>
      </c>
      <c r="D386" s="33" t="s">
        <v>14</v>
      </c>
      <c r="E386" s="33" t="s">
        <v>29</v>
      </c>
      <c r="F386" s="33"/>
      <c r="G386" s="33">
        <v>2399</v>
      </c>
      <c r="H386" s="33">
        <v>191</v>
      </c>
      <c r="I386" s="33">
        <v>221</v>
      </c>
      <c r="J386" s="33">
        <v>51603</v>
      </c>
      <c r="K386" s="33">
        <v>40033</v>
      </c>
      <c r="L386" s="33">
        <v>173</v>
      </c>
      <c r="M386" s="33" t="s">
        <v>20</v>
      </c>
      <c r="N386" s="44">
        <v>5.4473577117609397E-2</v>
      </c>
      <c r="O386" s="35" t="s">
        <v>19</v>
      </c>
    </row>
    <row r="387" spans="1:15" x14ac:dyDescent="0.3">
      <c r="A387" s="36" t="s">
        <v>296</v>
      </c>
      <c r="B387" s="37" t="s">
        <v>28</v>
      </c>
      <c r="C387" s="38">
        <v>45378</v>
      </c>
      <c r="D387" s="37" t="s">
        <v>14</v>
      </c>
      <c r="E387" s="37" t="s">
        <v>29</v>
      </c>
      <c r="F387" s="37"/>
      <c r="G387" s="37">
        <v>2399</v>
      </c>
      <c r="H387" s="37">
        <v>191</v>
      </c>
      <c r="I387" s="37">
        <v>221</v>
      </c>
      <c r="J387" s="37">
        <v>51603</v>
      </c>
      <c r="K387" s="37">
        <v>40033</v>
      </c>
      <c r="L387" s="37">
        <v>173</v>
      </c>
      <c r="M387" s="37" t="s">
        <v>20</v>
      </c>
      <c r="N387" s="45">
        <v>5.4473577117609397E-2</v>
      </c>
      <c r="O387" s="39" t="s">
        <v>354</v>
      </c>
    </row>
    <row r="388" spans="1:15" x14ac:dyDescent="0.3">
      <c r="A388" s="32" t="s">
        <v>40</v>
      </c>
      <c r="B388" s="33" t="s">
        <v>13</v>
      </c>
      <c r="C388" s="34">
        <v>45426</v>
      </c>
      <c r="D388" s="33" t="s">
        <v>14</v>
      </c>
      <c r="E388" s="33" t="s">
        <v>15</v>
      </c>
      <c r="F388" s="33"/>
      <c r="G388" s="33">
        <v>1485</v>
      </c>
      <c r="H388" s="33">
        <v>353</v>
      </c>
      <c r="I388" s="33">
        <v>244</v>
      </c>
      <c r="J388" s="33">
        <v>38419</v>
      </c>
      <c r="K388" s="33">
        <v>38556</v>
      </c>
      <c r="L388" s="33">
        <v>86</v>
      </c>
      <c r="M388" s="33" t="s">
        <v>16</v>
      </c>
      <c r="N388" s="44">
        <v>5.4191936281527402E-2</v>
      </c>
      <c r="O388" s="35" t="s">
        <v>39</v>
      </c>
    </row>
    <row r="389" spans="1:15" x14ac:dyDescent="0.3">
      <c r="A389" s="36" t="s">
        <v>40</v>
      </c>
      <c r="B389" s="37" t="s">
        <v>13</v>
      </c>
      <c r="C389" s="38">
        <v>45426</v>
      </c>
      <c r="D389" s="37" t="s">
        <v>14</v>
      </c>
      <c r="E389" s="37" t="s">
        <v>15</v>
      </c>
      <c r="F389" s="37"/>
      <c r="G389" s="37">
        <v>1485</v>
      </c>
      <c r="H389" s="37">
        <v>353</v>
      </c>
      <c r="I389" s="37">
        <v>244</v>
      </c>
      <c r="J389" s="37">
        <v>38419</v>
      </c>
      <c r="K389" s="37">
        <v>38556</v>
      </c>
      <c r="L389" s="37">
        <v>86</v>
      </c>
      <c r="M389" s="37" t="s">
        <v>16</v>
      </c>
      <c r="N389" s="45">
        <v>5.4191936281527402E-2</v>
      </c>
      <c r="O389" s="39" t="s">
        <v>36</v>
      </c>
    </row>
    <row r="390" spans="1:15" x14ac:dyDescent="0.3">
      <c r="A390" s="32" t="s">
        <v>271</v>
      </c>
      <c r="B390" s="33" t="s">
        <v>13</v>
      </c>
      <c r="C390" s="34">
        <v>45823</v>
      </c>
      <c r="D390" s="33" t="s">
        <v>14</v>
      </c>
      <c r="E390" s="33" t="s">
        <v>18</v>
      </c>
      <c r="F390" s="33"/>
      <c r="G390" s="33">
        <v>2478</v>
      </c>
      <c r="H390" s="33">
        <v>427</v>
      </c>
      <c r="I390" s="33">
        <v>242</v>
      </c>
      <c r="J390" s="33">
        <v>59272</v>
      </c>
      <c r="K390" s="33">
        <v>37833</v>
      </c>
      <c r="L390" s="33">
        <v>214</v>
      </c>
      <c r="M390" s="33" t="s">
        <v>16</v>
      </c>
      <c r="N390" s="44">
        <v>5.3094209744904801E-2</v>
      </c>
      <c r="O390" s="35" t="s">
        <v>39</v>
      </c>
    </row>
    <row r="391" spans="1:15" x14ac:dyDescent="0.3">
      <c r="A391" s="36" t="s">
        <v>271</v>
      </c>
      <c r="B391" s="37" t="s">
        <v>13</v>
      </c>
      <c r="C391" s="38">
        <v>45823</v>
      </c>
      <c r="D391" s="37" t="s">
        <v>14</v>
      </c>
      <c r="E391" s="37" t="s">
        <v>18</v>
      </c>
      <c r="F391" s="37"/>
      <c r="G391" s="37">
        <v>2478</v>
      </c>
      <c r="H391" s="37">
        <v>427</v>
      </c>
      <c r="I391" s="37">
        <v>242</v>
      </c>
      <c r="J391" s="37">
        <v>59272</v>
      </c>
      <c r="K391" s="37">
        <v>37833</v>
      </c>
      <c r="L391" s="37">
        <v>214</v>
      </c>
      <c r="M391" s="37" t="s">
        <v>16</v>
      </c>
      <c r="N391" s="45">
        <v>5.3094209744904801E-2</v>
      </c>
      <c r="O391" s="39" t="s">
        <v>36</v>
      </c>
    </row>
    <row r="392" spans="1:15" x14ac:dyDescent="0.3">
      <c r="A392" s="32" t="s">
        <v>145</v>
      </c>
      <c r="B392" s="33" t="s">
        <v>13</v>
      </c>
      <c r="C392" s="34">
        <v>45704</v>
      </c>
      <c r="D392" s="33" t="s">
        <v>14</v>
      </c>
      <c r="E392" s="33" t="s">
        <v>45</v>
      </c>
      <c r="F392" s="33"/>
      <c r="G392" s="33">
        <v>1333</v>
      </c>
      <c r="H392" s="33">
        <v>286</v>
      </c>
      <c r="I392" s="33">
        <v>298</v>
      </c>
      <c r="J392" s="33">
        <v>36174</v>
      </c>
      <c r="K392" s="33">
        <v>34517</v>
      </c>
      <c r="L392" s="33">
        <v>170</v>
      </c>
      <c r="M392" s="33" t="s">
        <v>16</v>
      </c>
      <c r="N392" s="44">
        <v>5.2993862995521598E-2</v>
      </c>
      <c r="O392" s="35" t="s">
        <v>39</v>
      </c>
    </row>
    <row r="393" spans="1:15" x14ac:dyDescent="0.3">
      <c r="A393" s="36" t="s">
        <v>145</v>
      </c>
      <c r="B393" s="37" t="s">
        <v>13</v>
      </c>
      <c r="C393" s="38">
        <v>45704</v>
      </c>
      <c r="D393" s="37" t="s">
        <v>14</v>
      </c>
      <c r="E393" s="37" t="s">
        <v>45</v>
      </c>
      <c r="F393" s="37"/>
      <c r="G393" s="37">
        <v>1333</v>
      </c>
      <c r="H393" s="37">
        <v>286</v>
      </c>
      <c r="I393" s="37">
        <v>298</v>
      </c>
      <c r="J393" s="37">
        <v>36174</v>
      </c>
      <c r="K393" s="37">
        <v>34517</v>
      </c>
      <c r="L393" s="37">
        <v>170</v>
      </c>
      <c r="M393" s="37" t="s">
        <v>16</v>
      </c>
      <c r="N393" s="45">
        <v>5.2993862995521598E-2</v>
      </c>
      <c r="O393" s="39" t="s">
        <v>36</v>
      </c>
    </row>
    <row r="394" spans="1:15" x14ac:dyDescent="0.3">
      <c r="A394" s="32" t="s">
        <v>258</v>
      </c>
      <c r="B394" s="33" t="s">
        <v>28</v>
      </c>
      <c r="C394" s="34">
        <v>45323</v>
      </c>
      <c r="D394" s="33" t="s">
        <v>14</v>
      </c>
      <c r="E394" s="33" t="s">
        <v>26</v>
      </c>
      <c r="F394" s="33"/>
      <c r="G394" s="33">
        <v>1432</v>
      </c>
      <c r="H394" s="33">
        <v>437</v>
      </c>
      <c r="I394" s="33">
        <v>267</v>
      </c>
      <c r="J394" s="33">
        <v>40634</v>
      </c>
      <c r="K394" s="33">
        <v>54511</v>
      </c>
      <c r="L394" s="33">
        <v>197</v>
      </c>
      <c r="M394" s="33" t="s">
        <v>20</v>
      </c>
      <c r="N394" s="44">
        <v>5.2566815966924203E-2</v>
      </c>
      <c r="O394" s="35" t="s">
        <v>19</v>
      </c>
    </row>
    <row r="395" spans="1:15" x14ac:dyDescent="0.3">
      <c r="A395" s="36" t="s">
        <v>258</v>
      </c>
      <c r="B395" s="37" t="s">
        <v>28</v>
      </c>
      <c r="C395" s="38">
        <v>45323</v>
      </c>
      <c r="D395" s="37" t="s">
        <v>14</v>
      </c>
      <c r="E395" s="37" t="s">
        <v>26</v>
      </c>
      <c r="F395" s="37"/>
      <c r="G395" s="37">
        <v>1432</v>
      </c>
      <c r="H395" s="37">
        <v>437</v>
      </c>
      <c r="I395" s="37">
        <v>267</v>
      </c>
      <c r="J395" s="37">
        <v>40634</v>
      </c>
      <c r="K395" s="37">
        <v>54511</v>
      </c>
      <c r="L395" s="37">
        <v>197</v>
      </c>
      <c r="M395" s="37" t="s">
        <v>20</v>
      </c>
      <c r="N395" s="45">
        <v>5.2566815966924203E-2</v>
      </c>
      <c r="O395" s="39" t="s">
        <v>354</v>
      </c>
    </row>
    <row r="396" spans="1:15" x14ac:dyDescent="0.3">
      <c r="A396" s="32" t="s">
        <v>259</v>
      </c>
      <c r="B396" s="33" t="s">
        <v>22</v>
      </c>
      <c r="C396" s="34">
        <v>45308</v>
      </c>
      <c r="D396" s="33" t="s">
        <v>23</v>
      </c>
      <c r="E396" s="33" t="s">
        <v>24</v>
      </c>
      <c r="F396" s="33"/>
      <c r="G396" s="33">
        <v>2174</v>
      </c>
      <c r="H396" s="33">
        <v>499</v>
      </c>
      <c r="I396" s="33">
        <v>212</v>
      </c>
      <c r="J396" s="33">
        <v>54938</v>
      </c>
      <c r="K396" s="33">
        <v>27190</v>
      </c>
      <c r="L396" s="33">
        <v>265</v>
      </c>
      <c r="M396" s="33" t="s">
        <v>16</v>
      </c>
      <c r="N396" s="44">
        <v>5.2513742764570999E-2</v>
      </c>
      <c r="O396" s="35" t="s">
        <v>355</v>
      </c>
    </row>
    <row r="397" spans="1:15" x14ac:dyDescent="0.3">
      <c r="A397" s="36" t="s">
        <v>259</v>
      </c>
      <c r="B397" s="37" t="s">
        <v>22</v>
      </c>
      <c r="C397" s="38">
        <v>45308</v>
      </c>
      <c r="D397" s="37" t="s">
        <v>23</v>
      </c>
      <c r="E397" s="37" t="s">
        <v>24</v>
      </c>
      <c r="F397" s="37"/>
      <c r="G397" s="37">
        <v>2174</v>
      </c>
      <c r="H397" s="37">
        <v>499</v>
      </c>
      <c r="I397" s="37">
        <v>212</v>
      </c>
      <c r="J397" s="37">
        <v>54938</v>
      </c>
      <c r="K397" s="37">
        <v>27190</v>
      </c>
      <c r="L397" s="37">
        <v>265</v>
      </c>
      <c r="M397" s="37" t="s">
        <v>16</v>
      </c>
      <c r="N397" s="45">
        <v>5.2513742764570999E-2</v>
      </c>
      <c r="O397" s="39" t="s">
        <v>36</v>
      </c>
    </row>
    <row r="398" spans="1:15" x14ac:dyDescent="0.3">
      <c r="A398" s="32" t="s">
        <v>289</v>
      </c>
      <c r="B398" s="33" t="s">
        <v>22</v>
      </c>
      <c r="C398" s="34">
        <v>45481</v>
      </c>
      <c r="D398" s="33" t="s">
        <v>23</v>
      </c>
      <c r="E398" s="33" t="s">
        <v>26</v>
      </c>
      <c r="F398" s="33"/>
      <c r="G398" s="33">
        <v>2304</v>
      </c>
      <c r="H398" s="33">
        <v>289</v>
      </c>
      <c r="I398" s="33">
        <v>161</v>
      </c>
      <c r="J398" s="33">
        <v>52645</v>
      </c>
      <c r="K398" s="33">
        <v>66262</v>
      </c>
      <c r="L398" s="33">
        <v>146</v>
      </c>
      <c r="M398" s="33" t="s">
        <v>16</v>
      </c>
      <c r="N398" s="44">
        <v>5.2312660271630701E-2</v>
      </c>
      <c r="O398" s="35" t="s">
        <v>355</v>
      </c>
    </row>
    <row r="399" spans="1:15" x14ac:dyDescent="0.3">
      <c r="A399" s="36" t="s">
        <v>289</v>
      </c>
      <c r="B399" s="37" t="s">
        <v>22</v>
      </c>
      <c r="C399" s="38">
        <v>45481</v>
      </c>
      <c r="D399" s="37" t="s">
        <v>23</v>
      </c>
      <c r="E399" s="37" t="s">
        <v>26</v>
      </c>
      <c r="F399" s="37"/>
      <c r="G399" s="37">
        <v>2304</v>
      </c>
      <c r="H399" s="37">
        <v>289</v>
      </c>
      <c r="I399" s="37">
        <v>161</v>
      </c>
      <c r="J399" s="37">
        <v>52645</v>
      </c>
      <c r="K399" s="37">
        <v>66262</v>
      </c>
      <c r="L399" s="37">
        <v>146</v>
      </c>
      <c r="M399" s="37" t="s">
        <v>16</v>
      </c>
      <c r="N399" s="45">
        <v>5.2312660271630701E-2</v>
      </c>
      <c r="O399" s="39" t="s">
        <v>36</v>
      </c>
    </row>
    <row r="400" spans="1:15" x14ac:dyDescent="0.3">
      <c r="A400" s="32" t="s">
        <v>106</v>
      </c>
      <c r="B400" s="33" t="s">
        <v>28</v>
      </c>
      <c r="C400" s="34">
        <v>45783</v>
      </c>
      <c r="D400" s="33" t="s">
        <v>51</v>
      </c>
      <c r="E400" s="33" t="s">
        <v>15</v>
      </c>
      <c r="F400" s="33"/>
      <c r="G400" s="33">
        <v>1085</v>
      </c>
      <c r="H400" s="33">
        <v>496</v>
      </c>
      <c r="I400" s="33">
        <v>320</v>
      </c>
      <c r="J400" s="33">
        <v>36528</v>
      </c>
      <c r="K400" s="33">
        <v>38599</v>
      </c>
      <c r="L400" s="33">
        <v>270</v>
      </c>
      <c r="M400" s="33" t="s">
        <v>52</v>
      </c>
      <c r="N400" s="44">
        <v>5.2042268944371403E-2</v>
      </c>
      <c r="O400" s="35" t="s">
        <v>19</v>
      </c>
    </row>
    <row r="401" spans="1:15" x14ac:dyDescent="0.3">
      <c r="A401" s="36" t="s">
        <v>106</v>
      </c>
      <c r="B401" s="37" t="s">
        <v>28</v>
      </c>
      <c r="C401" s="38">
        <v>45783</v>
      </c>
      <c r="D401" s="37" t="s">
        <v>51</v>
      </c>
      <c r="E401" s="37" t="s">
        <v>15</v>
      </c>
      <c r="F401" s="37"/>
      <c r="G401" s="37">
        <v>1085</v>
      </c>
      <c r="H401" s="37">
        <v>496</v>
      </c>
      <c r="I401" s="37">
        <v>320</v>
      </c>
      <c r="J401" s="37">
        <v>36528</v>
      </c>
      <c r="K401" s="37">
        <v>38599</v>
      </c>
      <c r="L401" s="37">
        <v>270</v>
      </c>
      <c r="M401" s="37" t="s">
        <v>52</v>
      </c>
      <c r="N401" s="45">
        <v>5.2042268944371403E-2</v>
      </c>
      <c r="O401" s="39" t="s">
        <v>39</v>
      </c>
    </row>
    <row r="402" spans="1:15" x14ac:dyDescent="0.3">
      <c r="A402" s="32" t="s">
        <v>249</v>
      </c>
      <c r="B402" s="33" t="s">
        <v>22</v>
      </c>
      <c r="C402" s="34">
        <v>45669</v>
      </c>
      <c r="D402" s="33" t="s">
        <v>14</v>
      </c>
      <c r="E402" s="33" t="s">
        <v>29</v>
      </c>
      <c r="F402" s="33"/>
      <c r="G402" s="33">
        <v>1765</v>
      </c>
      <c r="H402" s="33">
        <v>285</v>
      </c>
      <c r="I402" s="33">
        <v>100</v>
      </c>
      <c r="J402" s="33">
        <v>41313</v>
      </c>
      <c r="K402" s="33">
        <v>56575</v>
      </c>
      <c r="L402" s="33">
        <v>174</v>
      </c>
      <c r="M402" s="33" t="s">
        <v>20</v>
      </c>
      <c r="N402" s="44">
        <v>5.2041730205988401E-2</v>
      </c>
      <c r="O402" s="35" t="s">
        <v>39</v>
      </c>
    </row>
    <row r="403" spans="1:15" x14ac:dyDescent="0.3">
      <c r="A403" s="36" t="s">
        <v>305</v>
      </c>
      <c r="B403" s="37" t="s">
        <v>22</v>
      </c>
      <c r="C403" s="38">
        <v>45603</v>
      </c>
      <c r="D403" s="37" t="s">
        <v>14</v>
      </c>
      <c r="E403" s="37" t="s">
        <v>18</v>
      </c>
      <c r="F403" s="37"/>
      <c r="G403" s="37">
        <v>2229</v>
      </c>
      <c r="H403" s="37">
        <v>395</v>
      </c>
      <c r="I403" s="37">
        <v>328</v>
      </c>
      <c r="J403" s="37">
        <v>56921</v>
      </c>
      <c r="K403" s="37">
        <v>37176</v>
      </c>
      <c r="L403" s="37">
        <v>126</v>
      </c>
      <c r="M403" s="37" t="s">
        <v>20</v>
      </c>
      <c r="N403" s="45">
        <v>5.1861351697967399E-2</v>
      </c>
      <c r="O403" s="39" t="s">
        <v>39</v>
      </c>
    </row>
    <row r="404" spans="1:15" x14ac:dyDescent="0.3">
      <c r="A404" s="32" t="s">
        <v>229</v>
      </c>
      <c r="B404" s="33" t="s">
        <v>13</v>
      </c>
      <c r="C404" s="34">
        <v>45669</v>
      </c>
      <c r="D404" s="33" t="s">
        <v>14</v>
      </c>
      <c r="E404" s="33" t="s">
        <v>43</v>
      </c>
      <c r="F404" s="33"/>
      <c r="G404" s="33">
        <v>1771</v>
      </c>
      <c r="H404" s="33">
        <v>487</v>
      </c>
      <c r="I404" s="33">
        <v>272</v>
      </c>
      <c r="J404" s="33">
        <v>48810</v>
      </c>
      <c r="K404" s="33">
        <v>48084</v>
      </c>
      <c r="L404" s="33">
        <v>272</v>
      </c>
      <c r="M404" s="33" t="s">
        <v>16</v>
      </c>
      <c r="N404" s="44">
        <v>5.1833640647408301E-2</v>
      </c>
      <c r="O404" s="35" t="s">
        <v>39</v>
      </c>
    </row>
    <row r="405" spans="1:15" x14ac:dyDescent="0.3">
      <c r="A405" s="36" t="s">
        <v>229</v>
      </c>
      <c r="B405" s="37" t="s">
        <v>13</v>
      </c>
      <c r="C405" s="38">
        <v>45669</v>
      </c>
      <c r="D405" s="37" t="s">
        <v>14</v>
      </c>
      <c r="E405" s="37" t="s">
        <v>43</v>
      </c>
      <c r="F405" s="37"/>
      <c r="G405" s="37">
        <v>1771</v>
      </c>
      <c r="H405" s="37">
        <v>487</v>
      </c>
      <c r="I405" s="37">
        <v>272</v>
      </c>
      <c r="J405" s="37">
        <v>48810</v>
      </c>
      <c r="K405" s="37">
        <v>48084</v>
      </c>
      <c r="L405" s="37">
        <v>272</v>
      </c>
      <c r="M405" s="37" t="s">
        <v>16</v>
      </c>
      <c r="N405" s="45">
        <v>5.1833640647408301E-2</v>
      </c>
      <c r="O405" s="39" t="s">
        <v>36</v>
      </c>
    </row>
    <row r="406" spans="1:15" x14ac:dyDescent="0.3">
      <c r="A406" s="32" t="s">
        <v>59</v>
      </c>
      <c r="B406" s="33" t="s">
        <v>22</v>
      </c>
      <c r="C406" s="34">
        <v>45791</v>
      </c>
      <c r="D406" s="33" t="s">
        <v>23</v>
      </c>
      <c r="E406" s="33" t="s">
        <v>43</v>
      </c>
      <c r="F406" s="33"/>
      <c r="G406" s="33">
        <v>2707</v>
      </c>
      <c r="H406" s="33">
        <v>103</v>
      </c>
      <c r="I406" s="33">
        <v>51</v>
      </c>
      <c r="J406" s="33">
        <v>55302</v>
      </c>
      <c r="K406" s="33">
        <v>18801</v>
      </c>
      <c r="L406" s="33">
        <v>147</v>
      </c>
      <c r="M406" s="33" t="s">
        <v>16</v>
      </c>
      <c r="N406" s="44">
        <v>5.1734114498571501E-2</v>
      </c>
      <c r="O406" s="35" t="s">
        <v>19</v>
      </c>
    </row>
    <row r="407" spans="1:15" x14ac:dyDescent="0.3">
      <c r="A407" s="36" t="s">
        <v>59</v>
      </c>
      <c r="B407" s="37" t="s">
        <v>22</v>
      </c>
      <c r="C407" s="38">
        <v>45791</v>
      </c>
      <c r="D407" s="37" t="s">
        <v>23</v>
      </c>
      <c r="E407" s="37" t="s">
        <v>43</v>
      </c>
      <c r="F407" s="37"/>
      <c r="G407" s="37">
        <v>2707</v>
      </c>
      <c r="H407" s="37">
        <v>103</v>
      </c>
      <c r="I407" s="37">
        <v>51</v>
      </c>
      <c r="J407" s="37">
        <v>55302</v>
      </c>
      <c r="K407" s="37">
        <v>18801</v>
      </c>
      <c r="L407" s="37">
        <v>147</v>
      </c>
      <c r="M407" s="37" t="s">
        <v>16</v>
      </c>
      <c r="N407" s="45">
        <v>5.1734114498571501E-2</v>
      </c>
      <c r="O407" s="39" t="s">
        <v>355</v>
      </c>
    </row>
    <row r="408" spans="1:15" x14ac:dyDescent="0.3">
      <c r="A408" s="32" t="s">
        <v>108</v>
      </c>
      <c r="B408" s="33" t="s">
        <v>22</v>
      </c>
      <c r="C408" s="34">
        <v>45313</v>
      </c>
      <c r="D408" s="33" t="s">
        <v>23</v>
      </c>
      <c r="E408" s="33" t="s">
        <v>43</v>
      </c>
      <c r="F408" s="33"/>
      <c r="G408" s="33">
        <v>1554</v>
      </c>
      <c r="H408" s="33">
        <v>455</v>
      </c>
      <c r="I408" s="33">
        <v>158</v>
      </c>
      <c r="J408" s="33">
        <v>41947</v>
      </c>
      <c r="K408" s="33">
        <v>48578</v>
      </c>
      <c r="L408" s="33">
        <v>101</v>
      </c>
      <c r="M408" s="33" t="s">
        <v>16</v>
      </c>
      <c r="N408" s="44">
        <v>5.1660428636136103E-2</v>
      </c>
      <c r="O408" s="35" t="s">
        <v>39</v>
      </c>
    </row>
    <row r="409" spans="1:15" x14ac:dyDescent="0.3">
      <c r="A409" s="36" t="s">
        <v>108</v>
      </c>
      <c r="B409" s="37" t="s">
        <v>22</v>
      </c>
      <c r="C409" s="38">
        <v>45313</v>
      </c>
      <c r="D409" s="37" t="s">
        <v>23</v>
      </c>
      <c r="E409" s="37" t="s">
        <v>43</v>
      </c>
      <c r="F409" s="37"/>
      <c r="G409" s="37">
        <v>1554</v>
      </c>
      <c r="H409" s="37">
        <v>455</v>
      </c>
      <c r="I409" s="37">
        <v>158</v>
      </c>
      <c r="J409" s="37">
        <v>41947</v>
      </c>
      <c r="K409" s="37">
        <v>48578</v>
      </c>
      <c r="L409" s="37">
        <v>101</v>
      </c>
      <c r="M409" s="37" t="s">
        <v>16</v>
      </c>
      <c r="N409" s="45">
        <v>5.1660428636136103E-2</v>
      </c>
      <c r="O409" s="39" t="s">
        <v>36</v>
      </c>
    </row>
    <row r="410" spans="1:15" x14ac:dyDescent="0.3">
      <c r="A410" s="32" t="s">
        <v>147</v>
      </c>
      <c r="B410" s="33" t="s">
        <v>22</v>
      </c>
      <c r="C410" s="34">
        <v>45489</v>
      </c>
      <c r="D410" s="33" t="s">
        <v>14</v>
      </c>
      <c r="E410" s="33" t="s">
        <v>35</v>
      </c>
      <c r="F410" s="33"/>
      <c r="G410" s="33">
        <v>1803</v>
      </c>
      <c r="H410" s="33">
        <v>273</v>
      </c>
      <c r="I410" s="33">
        <v>287</v>
      </c>
      <c r="J410" s="33">
        <v>46176</v>
      </c>
      <c r="K410" s="33">
        <v>25488</v>
      </c>
      <c r="L410" s="33">
        <v>141</v>
      </c>
      <c r="M410" s="33" t="s">
        <v>16</v>
      </c>
      <c r="N410" s="44">
        <v>5.1173769923769902E-2</v>
      </c>
      <c r="O410" s="35" t="s">
        <v>36</v>
      </c>
    </row>
    <row r="411" spans="1:15" x14ac:dyDescent="0.3">
      <c r="A411" s="36" t="s">
        <v>286</v>
      </c>
      <c r="B411" s="37" t="s">
        <v>28</v>
      </c>
      <c r="C411" s="38">
        <v>45512</v>
      </c>
      <c r="D411" s="37" t="s">
        <v>14</v>
      </c>
      <c r="E411" s="37" t="s">
        <v>43</v>
      </c>
      <c r="F411" s="37"/>
      <c r="G411" s="37">
        <v>1994</v>
      </c>
      <c r="H411" s="37">
        <v>197</v>
      </c>
      <c r="I411" s="37">
        <v>290</v>
      </c>
      <c r="J411" s="37">
        <v>49500</v>
      </c>
      <c r="K411" s="37">
        <v>23343</v>
      </c>
      <c r="L411" s="37">
        <v>160</v>
      </c>
      <c r="M411" s="37" t="s">
        <v>20</v>
      </c>
      <c r="N411" s="45">
        <v>5.0121212121212101E-2</v>
      </c>
      <c r="O411" s="39" t="s">
        <v>19</v>
      </c>
    </row>
    <row r="412" spans="1:15" x14ac:dyDescent="0.3">
      <c r="A412" s="32" t="s">
        <v>286</v>
      </c>
      <c r="B412" s="33" t="s">
        <v>28</v>
      </c>
      <c r="C412" s="34">
        <v>45512</v>
      </c>
      <c r="D412" s="33" t="s">
        <v>14</v>
      </c>
      <c r="E412" s="33" t="s">
        <v>43</v>
      </c>
      <c r="F412" s="33"/>
      <c r="G412" s="33">
        <v>1994</v>
      </c>
      <c r="H412" s="33">
        <v>197</v>
      </c>
      <c r="I412" s="33">
        <v>290</v>
      </c>
      <c r="J412" s="33">
        <v>49500</v>
      </c>
      <c r="K412" s="33">
        <v>23343</v>
      </c>
      <c r="L412" s="33">
        <v>160</v>
      </c>
      <c r="M412" s="33" t="s">
        <v>20</v>
      </c>
      <c r="N412" s="44">
        <v>5.0121212121212101E-2</v>
      </c>
      <c r="O412" s="35" t="s">
        <v>354</v>
      </c>
    </row>
    <row r="413" spans="1:15" x14ac:dyDescent="0.3">
      <c r="A413" s="36" t="s">
        <v>193</v>
      </c>
      <c r="B413" s="37" t="s">
        <v>28</v>
      </c>
      <c r="C413" s="38">
        <v>45330</v>
      </c>
      <c r="D413" s="37" t="s">
        <v>51</v>
      </c>
      <c r="E413" s="37" t="s">
        <v>35</v>
      </c>
      <c r="F413" s="37"/>
      <c r="G413" s="37">
        <v>1889</v>
      </c>
      <c r="H413" s="37">
        <v>298</v>
      </c>
      <c r="I413" s="37">
        <v>122</v>
      </c>
      <c r="J413" s="37">
        <v>46225</v>
      </c>
      <c r="K413" s="37">
        <v>74305</v>
      </c>
      <c r="L413" s="37">
        <v>293</v>
      </c>
      <c r="M413" s="37" t="s">
        <v>52</v>
      </c>
      <c r="N413" s="45">
        <v>4.9951325040562503E-2</v>
      </c>
      <c r="O413" s="39" t="s">
        <v>19</v>
      </c>
    </row>
    <row r="414" spans="1:15" x14ac:dyDescent="0.3">
      <c r="A414" s="32" t="s">
        <v>193</v>
      </c>
      <c r="B414" s="33" t="s">
        <v>28</v>
      </c>
      <c r="C414" s="34">
        <v>45330</v>
      </c>
      <c r="D414" s="33" t="s">
        <v>51</v>
      </c>
      <c r="E414" s="33" t="s">
        <v>35</v>
      </c>
      <c r="F414" s="33"/>
      <c r="G414" s="33">
        <v>1889</v>
      </c>
      <c r="H414" s="33">
        <v>298</v>
      </c>
      <c r="I414" s="33">
        <v>122</v>
      </c>
      <c r="J414" s="33">
        <v>46225</v>
      </c>
      <c r="K414" s="33">
        <v>74305</v>
      </c>
      <c r="L414" s="33">
        <v>293</v>
      </c>
      <c r="M414" s="33" t="s">
        <v>52</v>
      </c>
      <c r="N414" s="44">
        <v>4.9951325040562503E-2</v>
      </c>
      <c r="O414" s="35" t="s">
        <v>39</v>
      </c>
    </row>
    <row r="415" spans="1:15" x14ac:dyDescent="0.3">
      <c r="A415" s="36" t="s">
        <v>149</v>
      </c>
      <c r="B415" s="37" t="s">
        <v>13</v>
      </c>
      <c r="C415" s="38">
        <v>45781</v>
      </c>
      <c r="D415" s="37" t="s">
        <v>23</v>
      </c>
      <c r="E415" s="37" t="s">
        <v>24</v>
      </c>
      <c r="F415" s="37"/>
      <c r="G415" s="37">
        <v>1311</v>
      </c>
      <c r="H415" s="37">
        <v>181</v>
      </c>
      <c r="I415" s="37">
        <v>361</v>
      </c>
      <c r="J415" s="37">
        <v>37148</v>
      </c>
      <c r="K415" s="37">
        <v>44875</v>
      </c>
      <c r="L415" s="37">
        <v>245</v>
      </c>
      <c r="M415" s="37" t="s">
        <v>49</v>
      </c>
      <c r="N415" s="45">
        <v>4.9881554861634501E-2</v>
      </c>
      <c r="O415" s="39" t="s">
        <v>36</v>
      </c>
    </row>
    <row r="416" spans="1:15" x14ac:dyDescent="0.3">
      <c r="A416" s="32" t="s">
        <v>263</v>
      </c>
      <c r="B416" s="33" t="s">
        <v>28</v>
      </c>
      <c r="C416" s="34">
        <v>45791</v>
      </c>
      <c r="D416" s="33" t="s">
        <v>14</v>
      </c>
      <c r="E416" s="33" t="s">
        <v>15</v>
      </c>
      <c r="F416" s="33"/>
      <c r="G416" s="33">
        <v>1701</v>
      </c>
      <c r="H416" s="33">
        <v>272</v>
      </c>
      <c r="I416" s="33">
        <v>385</v>
      </c>
      <c r="J416" s="33">
        <v>47496</v>
      </c>
      <c r="K416" s="33">
        <v>40832</v>
      </c>
      <c r="L416" s="33">
        <v>246</v>
      </c>
      <c r="M416" s="33" t="s">
        <v>20</v>
      </c>
      <c r="N416" s="44">
        <v>4.9646286003031802E-2</v>
      </c>
      <c r="O416" s="35" t="s">
        <v>19</v>
      </c>
    </row>
    <row r="417" spans="1:15" x14ac:dyDescent="0.3">
      <c r="A417" s="36" t="s">
        <v>263</v>
      </c>
      <c r="B417" s="37" t="s">
        <v>28</v>
      </c>
      <c r="C417" s="38">
        <v>45791</v>
      </c>
      <c r="D417" s="37" t="s">
        <v>14</v>
      </c>
      <c r="E417" s="37" t="s">
        <v>15</v>
      </c>
      <c r="F417" s="37"/>
      <c r="G417" s="37">
        <v>1701</v>
      </c>
      <c r="H417" s="37">
        <v>272</v>
      </c>
      <c r="I417" s="37">
        <v>385</v>
      </c>
      <c r="J417" s="37">
        <v>47496</v>
      </c>
      <c r="K417" s="37">
        <v>40832</v>
      </c>
      <c r="L417" s="37">
        <v>246</v>
      </c>
      <c r="M417" s="37" t="s">
        <v>20</v>
      </c>
      <c r="N417" s="45">
        <v>4.9646286003031802E-2</v>
      </c>
      <c r="O417" s="39" t="s">
        <v>354</v>
      </c>
    </row>
    <row r="418" spans="1:15" x14ac:dyDescent="0.3">
      <c r="A418" s="32" t="s">
        <v>274</v>
      </c>
      <c r="B418" s="33" t="s">
        <v>22</v>
      </c>
      <c r="C418" s="34">
        <v>45550</v>
      </c>
      <c r="D418" s="33" t="s">
        <v>14</v>
      </c>
      <c r="E418" s="33" t="s">
        <v>32</v>
      </c>
      <c r="F418" s="33"/>
      <c r="G418" s="33">
        <v>2145</v>
      </c>
      <c r="H418" s="33">
        <v>340</v>
      </c>
      <c r="I418" s="33">
        <v>85</v>
      </c>
      <c r="J418" s="33">
        <v>53323</v>
      </c>
      <c r="K418" s="33">
        <v>49938</v>
      </c>
      <c r="L418" s="33">
        <v>104</v>
      </c>
      <c r="M418" s="33" t="s">
        <v>16</v>
      </c>
      <c r="N418" s="44">
        <v>4.8196838137389099E-2</v>
      </c>
      <c r="O418" s="35" t="s">
        <v>36</v>
      </c>
    </row>
    <row r="419" spans="1:15" x14ac:dyDescent="0.3">
      <c r="A419" s="36" t="s">
        <v>88</v>
      </c>
      <c r="B419" s="37" t="s">
        <v>22</v>
      </c>
      <c r="C419" s="38">
        <v>45420</v>
      </c>
      <c r="D419" s="37" t="s">
        <v>14</v>
      </c>
      <c r="E419" s="37" t="s">
        <v>18</v>
      </c>
      <c r="F419" s="37"/>
      <c r="G419" s="37">
        <v>1828</v>
      </c>
      <c r="H419" s="37">
        <v>450</v>
      </c>
      <c r="I419" s="37">
        <v>214</v>
      </c>
      <c r="J419" s="37">
        <v>52115</v>
      </c>
      <c r="K419" s="37">
        <v>19166</v>
      </c>
      <c r="L419" s="37">
        <v>190</v>
      </c>
      <c r="M419" s="37" t="s">
        <v>16</v>
      </c>
      <c r="N419" s="45">
        <v>4.7817327065144397E-2</v>
      </c>
      <c r="O419" s="39" t="s">
        <v>36</v>
      </c>
    </row>
    <row r="420" spans="1:15" x14ac:dyDescent="0.3">
      <c r="A420" s="32" t="s">
        <v>166</v>
      </c>
      <c r="B420" s="33" t="s">
        <v>28</v>
      </c>
      <c r="C420" s="34">
        <v>45318</v>
      </c>
      <c r="D420" s="33" t="s">
        <v>14</v>
      </c>
      <c r="E420" s="33" t="s">
        <v>45</v>
      </c>
      <c r="F420" s="33"/>
      <c r="G420" s="33">
        <v>1976</v>
      </c>
      <c r="H420" s="33">
        <v>262</v>
      </c>
      <c r="I420" s="33">
        <v>218</v>
      </c>
      <c r="J420" s="33">
        <v>51696</v>
      </c>
      <c r="K420" s="33">
        <v>44846</v>
      </c>
      <c r="L420" s="33">
        <v>139</v>
      </c>
      <c r="M420" s="33" t="s">
        <v>20</v>
      </c>
      <c r="N420" s="44">
        <v>4.7508511296812099E-2</v>
      </c>
      <c r="O420" s="35" t="s">
        <v>19</v>
      </c>
    </row>
    <row r="421" spans="1:15" x14ac:dyDescent="0.3">
      <c r="A421" s="36" t="s">
        <v>166</v>
      </c>
      <c r="B421" s="37" t="s">
        <v>28</v>
      </c>
      <c r="C421" s="38">
        <v>45318</v>
      </c>
      <c r="D421" s="37" t="s">
        <v>14</v>
      </c>
      <c r="E421" s="37" t="s">
        <v>45</v>
      </c>
      <c r="F421" s="37"/>
      <c r="G421" s="37">
        <v>1976</v>
      </c>
      <c r="H421" s="37">
        <v>262</v>
      </c>
      <c r="I421" s="37">
        <v>218</v>
      </c>
      <c r="J421" s="37">
        <v>51696</v>
      </c>
      <c r="K421" s="37">
        <v>44846</v>
      </c>
      <c r="L421" s="37">
        <v>139</v>
      </c>
      <c r="M421" s="37" t="s">
        <v>20</v>
      </c>
      <c r="N421" s="45">
        <v>4.7508511296812099E-2</v>
      </c>
      <c r="O421" s="39" t="s">
        <v>354</v>
      </c>
    </row>
    <row r="422" spans="1:15" x14ac:dyDescent="0.3">
      <c r="A422" s="32" t="s">
        <v>47</v>
      </c>
      <c r="B422" s="33" t="s">
        <v>22</v>
      </c>
      <c r="C422" s="34">
        <v>45453</v>
      </c>
      <c r="D422" s="33" t="s">
        <v>14</v>
      </c>
      <c r="E422" s="33" t="s">
        <v>360</v>
      </c>
      <c r="F422" s="33" t="s">
        <v>361</v>
      </c>
      <c r="G422" s="33">
        <v>1514</v>
      </c>
      <c r="H422" s="33">
        <v>164</v>
      </c>
      <c r="I422" s="33">
        <v>275</v>
      </c>
      <c r="J422" s="33">
        <v>41364</v>
      </c>
      <c r="K422" s="33">
        <v>44389</v>
      </c>
      <c r="L422" s="33">
        <v>83</v>
      </c>
      <c r="M422" s="33" t="s">
        <v>16</v>
      </c>
      <c r="N422" s="44">
        <v>4.72149695387293E-2</v>
      </c>
      <c r="O422" s="35" t="s">
        <v>36</v>
      </c>
    </row>
    <row r="423" spans="1:15" x14ac:dyDescent="0.3">
      <c r="A423" s="36" t="s">
        <v>153</v>
      </c>
      <c r="B423" s="37" t="s">
        <v>13</v>
      </c>
      <c r="C423" s="38">
        <v>45674</v>
      </c>
      <c r="D423" s="37" t="s">
        <v>14</v>
      </c>
      <c r="E423" s="37" t="s">
        <v>35</v>
      </c>
      <c r="F423" s="37"/>
      <c r="G423" s="37">
        <v>2266</v>
      </c>
      <c r="H423" s="37">
        <v>126</v>
      </c>
      <c r="I423" s="37">
        <v>140</v>
      </c>
      <c r="J423" s="37">
        <v>53759</v>
      </c>
      <c r="K423" s="37">
        <v>46834</v>
      </c>
      <c r="L423" s="37">
        <v>277</v>
      </c>
      <c r="M423" s="37" t="s">
        <v>20</v>
      </c>
      <c r="N423" s="45">
        <v>4.7099090384865802E-2</v>
      </c>
      <c r="O423" s="39" t="s">
        <v>19</v>
      </c>
    </row>
    <row r="424" spans="1:15" x14ac:dyDescent="0.3">
      <c r="A424" s="32" t="s">
        <v>102</v>
      </c>
      <c r="B424" s="33" t="s">
        <v>22</v>
      </c>
      <c r="C424" s="34">
        <v>45643</v>
      </c>
      <c r="D424" s="33" t="s">
        <v>23</v>
      </c>
      <c r="E424" s="33" t="s">
        <v>29</v>
      </c>
      <c r="F424" s="33"/>
      <c r="G424" s="33">
        <v>1316</v>
      </c>
      <c r="H424" s="33">
        <v>472</v>
      </c>
      <c r="I424" s="33">
        <v>286</v>
      </c>
      <c r="J424" s="33">
        <v>44692</v>
      </c>
      <c r="K424" s="33">
        <v>53343</v>
      </c>
      <c r="L424" s="33">
        <v>227</v>
      </c>
      <c r="M424" s="33" t="s">
        <v>16</v>
      </c>
      <c r="N424" s="44">
        <v>4.6406515707509199E-2</v>
      </c>
      <c r="O424" s="35" t="s">
        <v>19</v>
      </c>
    </row>
    <row r="425" spans="1:15" x14ac:dyDescent="0.3">
      <c r="A425" s="36" t="s">
        <v>102</v>
      </c>
      <c r="B425" s="37" t="s">
        <v>22</v>
      </c>
      <c r="C425" s="38">
        <v>45643</v>
      </c>
      <c r="D425" s="37" t="s">
        <v>23</v>
      </c>
      <c r="E425" s="37" t="s">
        <v>29</v>
      </c>
      <c r="F425" s="37"/>
      <c r="G425" s="37">
        <v>1316</v>
      </c>
      <c r="H425" s="37">
        <v>472</v>
      </c>
      <c r="I425" s="37">
        <v>286</v>
      </c>
      <c r="J425" s="37">
        <v>44692</v>
      </c>
      <c r="K425" s="37">
        <v>53343</v>
      </c>
      <c r="L425" s="37">
        <v>227</v>
      </c>
      <c r="M425" s="37" t="s">
        <v>16</v>
      </c>
      <c r="N425" s="45">
        <v>4.6406515707509199E-2</v>
      </c>
      <c r="O425" s="39" t="s">
        <v>355</v>
      </c>
    </row>
    <row r="426" spans="1:15" x14ac:dyDescent="0.3">
      <c r="A426" s="32" t="s">
        <v>252</v>
      </c>
      <c r="B426" s="33" t="s">
        <v>22</v>
      </c>
      <c r="C426" s="34">
        <v>45332</v>
      </c>
      <c r="D426" s="33" t="s">
        <v>14</v>
      </c>
      <c r="E426" s="33" t="s">
        <v>43</v>
      </c>
      <c r="F426" s="33"/>
      <c r="G426" s="33">
        <v>1519</v>
      </c>
      <c r="H426" s="33">
        <v>456</v>
      </c>
      <c r="I426" s="33">
        <v>379</v>
      </c>
      <c r="J426" s="33">
        <v>51611</v>
      </c>
      <c r="K426" s="33">
        <v>45880</v>
      </c>
      <c r="L426" s="33">
        <v>176</v>
      </c>
      <c r="M426" s="33" t="s">
        <v>20</v>
      </c>
      <c r="N426" s="44">
        <v>4.5610431884675798E-2</v>
      </c>
      <c r="O426" s="35" t="s">
        <v>39</v>
      </c>
    </row>
    <row r="427" spans="1:15" x14ac:dyDescent="0.3">
      <c r="A427" s="36" t="s">
        <v>233</v>
      </c>
      <c r="B427" s="37" t="s">
        <v>22</v>
      </c>
      <c r="C427" s="38">
        <v>45369</v>
      </c>
      <c r="D427" s="37" t="s">
        <v>14</v>
      </c>
      <c r="E427" s="37" t="s">
        <v>24</v>
      </c>
      <c r="F427" s="37"/>
      <c r="G427" s="37">
        <v>2033</v>
      </c>
      <c r="H427" s="37">
        <v>420</v>
      </c>
      <c r="I427" s="37">
        <v>94</v>
      </c>
      <c r="J427" s="37">
        <v>56290</v>
      </c>
      <c r="K427" s="37">
        <v>57391</v>
      </c>
      <c r="L427" s="37">
        <v>196</v>
      </c>
      <c r="M427" s="37" t="s">
        <v>16</v>
      </c>
      <c r="N427" s="45">
        <v>4.5247823769763697E-2</v>
      </c>
      <c r="O427" s="39" t="s">
        <v>36</v>
      </c>
    </row>
    <row r="428" spans="1:15" x14ac:dyDescent="0.3">
      <c r="A428" s="32" t="s">
        <v>326</v>
      </c>
      <c r="B428" s="33" t="s">
        <v>28</v>
      </c>
      <c r="C428" s="34">
        <v>45765</v>
      </c>
      <c r="D428" s="33" t="s">
        <v>51</v>
      </c>
      <c r="E428" s="33" t="s">
        <v>45</v>
      </c>
      <c r="F428" s="33"/>
      <c r="G428" s="33">
        <v>1265</v>
      </c>
      <c r="H428" s="33">
        <v>230</v>
      </c>
      <c r="I428" s="33">
        <v>364</v>
      </c>
      <c r="J428" s="33">
        <v>41312</v>
      </c>
      <c r="K428" s="33">
        <v>50382</v>
      </c>
      <c r="L428" s="33">
        <v>106</v>
      </c>
      <c r="M428" s="33" t="s">
        <v>52</v>
      </c>
      <c r="N428" s="44">
        <v>4.4999031758326903E-2</v>
      </c>
      <c r="O428" s="35" t="s">
        <v>19</v>
      </c>
    </row>
    <row r="429" spans="1:15" x14ac:dyDescent="0.3">
      <c r="A429" s="36" t="s">
        <v>326</v>
      </c>
      <c r="B429" s="37" t="s">
        <v>28</v>
      </c>
      <c r="C429" s="38">
        <v>45765</v>
      </c>
      <c r="D429" s="37" t="s">
        <v>51</v>
      </c>
      <c r="E429" s="37" t="s">
        <v>45</v>
      </c>
      <c r="F429" s="37"/>
      <c r="G429" s="37">
        <v>1265</v>
      </c>
      <c r="H429" s="37">
        <v>230</v>
      </c>
      <c r="I429" s="37">
        <v>364</v>
      </c>
      <c r="J429" s="37">
        <v>41312</v>
      </c>
      <c r="K429" s="37">
        <v>50382</v>
      </c>
      <c r="L429" s="37">
        <v>106</v>
      </c>
      <c r="M429" s="37" t="s">
        <v>52</v>
      </c>
      <c r="N429" s="45">
        <v>4.4999031758326903E-2</v>
      </c>
      <c r="O429" s="39" t="s">
        <v>39</v>
      </c>
    </row>
    <row r="430" spans="1:15" x14ac:dyDescent="0.3">
      <c r="A430" s="32" t="s">
        <v>119</v>
      </c>
      <c r="B430" s="33" t="s">
        <v>22</v>
      </c>
      <c r="C430" s="34">
        <v>45791</v>
      </c>
      <c r="D430" s="33" t="s">
        <v>23</v>
      </c>
      <c r="E430" s="33" t="s">
        <v>26</v>
      </c>
      <c r="F430" s="33"/>
      <c r="G430" s="33">
        <v>1371</v>
      </c>
      <c r="H430" s="33">
        <v>139</v>
      </c>
      <c r="I430" s="33">
        <v>96</v>
      </c>
      <c r="J430" s="33">
        <v>36140</v>
      </c>
      <c r="K430" s="33">
        <v>39395</v>
      </c>
      <c r="L430" s="33">
        <v>169</v>
      </c>
      <c r="M430" s="33" t="s">
        <v>16</v>
      </c>
      <c r="N430" s="44">
        <v>4.4438295517432197E-2</v>
      </c>
      <c r="O430" s="35" t="s">
        <v>39</v>
      </c>
    </row>
    <row r="431" spans="1:15" x14ac:dyDescent="0.3">
      <c r="A431" s="36" t="s">
        <v>119</v>
      </c>
      <c r="B431" s="37" t="s">
        <v>22</v>
      </c>
      <c r="C431" s="38">
        <v>45791</v>
      </c>
      <c r="D431" s="37" t="s">
        <v>23</v>
      </c>
      <c r="E431" s="37" t="s">
        <v>26</v>
      </c>
      <c r="F431" s="37"/>
      <c r="G431" s="37">
        <v>1371</v>
      </c>
      <c r="H431" s="37">
        <v>139</v>
      </c>
      <c r="I431" s="37">
        <v>96</v>
      </c>
      <c r="J431" s="37">
        <v>36140</v>
      </c>
      <c r="K431" s="37">
        <v>39395</v>
      </c>
      <c r="L431" s="37">
        <v>169</v>
      </c>
      <c r="M431" s="37" t="s">
        <v>16</v>
      </c>
      <c r="N431" s="45">
        <v>4.4438295517432197E-2</v>
      </c>
      <c r="O431" s="39" t="s">
        <v>36</v>
      </c>
    </row>
    <row r="432" spans="1:15" x14ac:dyDescent="0.3">
      <c r="A432" s="32" t="s">
        <v>67</v>
      </c>
      <c r="B432" s="33" t="s">
        <v>13</v>
      </c>
      <c r="C432" s="34">
        <v>45666</v>
      </c>
      <c r="D432" s="33" t="s">
        <v>14</v>
      </c>
      <c r="E432" s="33" t="s">
        <v>24</v>
      </c>
      <c r="F432" s="33"/>
      <c r="G432" s="33">
        <v>1015</v>
      </c>
      <c r="H432" s="33">
        <v>366</v>
      </c>
      <c r="I432" s="33">
        <v>308</v>
      </c>
      <c r="J432" s="33">
        <v>38127</v>
      </c>
      <c r="K432" s="33">
        <v>63790</v>
      </c>
      <c r="L432" s="33">
        <v>287</v>
      </c>
      <c r="M432" s="33" t="s">
        <v>16</v>
      </c>
      <c r="N432" s="44">
        <v>4.4299315445747098E-2</v>
      </c>
      <c r="O432" s="35" t="s">
        <v>39</v>
      </c>
    </row>
    <row r="433" spans="1:15" x14ac:dyDescent="0.3">
      <c r="A433" s="36" t="s">
        <v>67</v>
      </c>
      <c r="B433" s="37" t="s">
        <v>13</v>
      </c>
      <c r="C433" s="38">
        <v>45666</v>
      </c>
      <c r="D433" s="37" t="s">
        <v>14</v>
      </c>
      <c r="E433" s="37" t="s">
        <v>24</v>
      </c>
      <c r="F433" s="37"/>
      <c r="G433" s="37">
        <v>1015</v>
      </c>
      <c r="H433" s="37">
        <v>366</v>
      </c>
      <c r="I433" s="37">
        <v>308</v>
      </c>
      <c r="J433" s="37">
        <v>38127</v>
      </c>
      <c r="K433" s="37">
        <v>63790</v>
      </c>
      <c r="L433" s="37">
        <v>287</v>
      </c>
      <c r="M433" s="37" t="s">
        <v>16</v>
      </c>
      <c r="N433" s="45">
        <v>4.4299315445747098E-2</v>
      </c>
      <c r="O433" s="39" t="s">
        <v>36</v>
      </c>
    </row>
    <row r="434" spans="1:15" x14ac:dyDescent="0.3">
      <c r="A434" s="32" t="s">
        <v>284</v>
      </c>
      <c r="B434" s="33" t="s">
        <v>22</v>
      </c>
      <c r="C434" s="34">
        <v>45480</v>
      </c>
      <c r="D434" s="33" t="s">
        <v>14</v>
      </c>
      <c r="E434" s="33" t="s">
        <v>360</v>
      </c>
      <c r="F434" s="33" t="s">
        <v>361</v>
      </c>
      <c r="G434" s="33">
        <v>1848</v>
      </c>
      <c r="H434" s="33">
        <v>417</v>
      </c>
      <c r="I434" s="33">
        <v>294</v>
      </c>
      <c r="J434" s="33">
        <v>57819</v>
      </c>
      <c r="K434" s="33">
        <v>19798</v>
      </c>
      <c r="L434" s="33">
        <v>262</v>
      </c>
      <c r="M434" s="33" t="s">
        <v>20</v>
      </c>
      <c r="N434" s="44">
        <v>4.42588076583822E-2</v>
      </c>
      <c r="O434" s="35" t="s">
        <v>39</v>
      </c>
    </row>
    <row r="435" spans="1:15" x14ac:dyDescent="0.3">
      <c r="A435" s="36" t="s">
        <v>95</v>
      </c>
      <c r="B435" s="37" t="s">
        <v>22</v>
      </c>
      <c r="C435" s="38">
        <v>45599</v>
      </c>
      <c r="D435" s="37" t="s">
        <v>23</v>
      </c>
      <c r="E435" s="37" t="s">
        <v>26</v>
      </c>
      <c r="F435" s="37"/>
      <c r="G435" s="37">
        <v>1959</v>
      </c>
      <c r="H435" s="37">
        <v>316</v>
      </c>
      <c r="I435" s="37">
        <v>82</v>
      </c>
      <c r="J435" s="37">
        <v>54036</v>
      </c>
      <c r="K435" s="37">
        <v>69015</v>
      </c>
      <c r="L435" s="37">
        <v>182</v>
      </c>
      <c r="M435" s="37" t="s">
        <v>16</v>
      </c>
      <c r="N435" s="45">
        <v>4.3619068768968802E-2</v>
      </c>
      <c r="O435" s="39" t="s">
        <v>355</v>
      </c>
    </row>
    <row r="436" spans="1:15" x14ac:dyDescent="0.3">
      <c r="A436" s="32" t="s">
        <v>95</v>
      </c>
      <c r="B436" s="33" t="s">
        <v>22</v>
      </c>
      <c r="C436" s="34">
        <v>45599</v>
      </c>
      <c r="D436" s="33" t="s">
        <v>23</v>
      </c>
      <c r="E436" s="33" t="s">
        <v>26</v>
      </c>
      <c r="F436" s="33"/>
      <c r="G436" s="33">
        <v>1959</v>
      </c>
      <c r="H436" s="33">
        <v>316</v>
      </c>
      <c r="I436" s="33">
        <v>82</v>
      </c>
      <c r="J436" s="33">
        <v>54036</v>
      </c>
      <c r="K436" s="33">
        <v>69015</v>
      </c>
      <c r="L436" s="33">
        <v>182</v>
      </c>
      <c r="M436" s="33" t="s">
        <v>16</v>
      </c>
      <c r="N436" s="44">
        <v>4.3619068768968802E-2</v>
      </c>
      <c r="O436" s="35" t="s">
        <v>36</v>
      </c>
    </row>
    <row r="437" spans="1:15" x14ac:dyDescent="0.3">
      <c r="A437" s="36" t="s">
        <v>54</v>
      </c>
      <c r="B437" s="37" t="s">
        <v>13</v>
      </c>
      <c r="C437" s="38">
        <v>45603</v>
      </c>
      <c r="D437" s="37" t="s">
        <v>23</v>
      </c>
      <c r="E437" s="37" t="s">
        <v>26</v>
      </c>
      <c r="F437" s="37"/>
      <c r="G437" s="37">
        <v>1678</v>
      </c>
      <c r="H437" s="37">
        <v>423</v>
      </c>
      <c r="I437" s="37">
        <v>323</v>
      </c>
      <c r="J437" s="37">
        <v>55668</v>
      </c>
      <c r="K437" s="37">
        <v>37945</v>
      </c>
      <c r="L437" s="37">
        <v>230</v>
      </c>
      <c r="M437" s="37" t="s">
        <v>49</v>
      </c>
      <c r="N437" s="45">
        <v>4.3543867212761399E-2</v>
      </c>
      <c r="O437" s="39" t="s">
        <v>36</v>
      </c>
    </row>
    <row r="438" spans="1:15" x14ac:dyDescent="0.3">
      <c r="A438" s="32" t="s">
        <v>214</v>
      </c>
      <c r="B438" s="33" t="s">
        <v>22</v>
      </c>
      <c r="C438" s="34">
        <v>45370</v>
      </c>
      <c r="D438" s="33" t="s">
        <v>14</v>
      </c>
      <c r="E438" s="33" t="s">
        <v>43</v>
      </c>
      <c r="F438" s="33"/>
      <c r="G438" s="33">
        <v>2191</v>
      </c>
      <c r="H438" s="33">
        <v>288</v>
      </c>
      <c r="I438" s="33">
        <v>83</v>
      </c>
      <c r="J438" s="33">
        <v>59606</v>
      </c>
      <c r="K438" s="33">
        <v>24765</v>
      </c>
      <c r="L438" s="33">
        <v>281</v>
      </c>
      <c r="M438" s="33" t="s">
        <v>20</v>
      </c>
      <c r="N438" s="44">
        <v>4.2982250109049401E-2</v>
      </c>
      <c r="O438" s="35" t="s">
        <v>39</v>
      </c>
    </row>
    <row r="439" spans="1:15" x14ac:dyDescent="0.3">
      <c r="A439" s="36" t="s">
        <v>151</v>
      </c>
      <c r="B439" s="37" t="s">
        <v>22</v>
      </c>
      <c r="C439" s="38">
        <v>45428</v>
      </c>
      <c r="D439" s="37" t="s">
        <v>23</v>
      </c>
      <c r="E439" s="37" t="s">
        <v>29</v>
      </c>
      <c r="F439" s="37"/>
      <c r="G439" s="37">
        <v>2023</v>
      </c>
      <c r="H439" s="37">
        <v>124</v>
      </c>
      <c r="I439" s="37">
        <v>99</v>
      </c>
      <c r="J439" s="37">
        <v>54524</v>
      </c>
      <c r="K439" s="37">
        <v>34790</v>
      </c>
      <c r="L439" s="37">
        <v>195</v>
      </c>
      <c r="M439" s="37" t="s">
        <v>16</v>
      </c>
      <c r="N439" s="45">
        <v>4.1192869195216801E-2</v>
      </c>
      <c r="O439" s="39" t="s">
        <v>19</v>
      </c>
    </row>
    <row r="440" spans="1:15" x14ac:dyDescent="0.3">
      <c r="A440" s="32" t="s">
        <v>151</v>
      </c>
      <c r="B440" s="33" t="s">
        <v>22</v>
      </c>
      <c r="C440" s="34">
        <v>45428</v>
      </c>
      <c r="D440" s="33" t="s">
        <v>23</v>
      </c>
      <c r="E440" s="33" t="s">
        <v>29</v>
      </c>
      <c r="F440" s="33"/>
      <c r="G440" s="33">
        <v>2023</v>
      </c>
      <c r="H440" s="33">
        <v>124</v>
      </c>
      <c r="I440" s="33">
        <v>99</v>
      </c>
      <c r="J440" s="33">
        <v>54524</v>
      </c>
      <c r="K440" s="33">
        <v>34790</v>
      </c>
      <c r="L440" s="33">
        <v>195</v>
      </c>
      <c r="M440" s="33" t="s">
        <v>16</v>
      </c>
      <c r="N440" s="44">
        <v>4.1192869195216801E-2</v>
      </c>
      <c r="O440" s="35" t="s">
        <v>355</v>
      </c>
    </row>
    <row r="441" spans="1:15" x14ac:dyDescent="0.3">
      <c r="A441" s="36" t="s">
        <v>107</v>
      </c>
      <c r="B441" s="37" t="s">
        <v>22</v>
      </c>
      <c r="C441" s="38">
        <v>45431</v>
      </c>
      <c r="D441" s="37" t="s">
        <v>23</v>
      </c>
      <c r="E441" s="37" t="s">
        <v>32</v>
      </c>
      <c r="F441" s="37"/>
      <c r="G441" s="37">
        <v>1763</v>
      </c>
      <c r="H441" s="37">
        <v>206</v>
      </c>
      <c r="I441" s="37">
        <v>187</v>
      </c>
      <c r="J441" s="37">
        <v>53342</v>
      </c>
      <c r="K441" s="37">
        <v>25095</v>
      </c>
      <c r="L441" s="37">
        <v>88</v>
      </c>
      <c r="M441" s="37" t="s">
        <v>16</v>
      </c>
      <c r="N441" s="45">
        <v>4.04184320047992E-2</v>
      </c>
      <c r="O441" s="39" t="s">
        <v>19</v>
      </c>
    </row>
    <row r="442" spans="1:15" x14ac:dyDescent="0.3">
      <c r="A442" s="32" t="s">
        <v>107</v>
      </c>
      <c r="B442" s="33" t="s">
        <v>22</v>
      </c>
      <c r="C442" s="34">
        <v>45431</v>
      </c>
      <c r="D442" s="33" t="s">
        <v>23</v>
      </c>
      <c r="E442" s="33" t="s">
        <v>32</v>
      </c>
      <c r="F442" s="33"/>
      <c r="G442" s="33">
        <v>1763</v>
      </c>
      <c r="H442" s="33">
        <v>206</v>
      </c>
      <c r="I442" s="33">
        <v>187</v>
      </c>
      <c r="J442" s="33">
        <v>53342</v>
      </c>
      <c r="K442" s="33">
        <v>25095</v>
      </c>
      <c r="L442" s="33">
        <v>88</v>
      </c>
      <c r="M442" s="33" t="s">
        <v>16</v>
      </c>
      <c r="N442" s="44">
        <v>4.04184320047992E-2</v>
      </c>
      <c r="O442" s="35" t="s">
        <v>355</v>
      </c>
    </row>
    <row r="443" spans="1:15" x14ac:dyDescent="0.3">
      <c r="A443" s="36" t="s">
        <v>245</v>
      </c>
      <c r="B443" s="37" t="s">
        <v>22</v>
      </c>
      <c r="C443" s="38">
        <v>45827</v>
      </c>
      <c r="D443" s="37" t="s">
        <v>23</v>
      </c>
      <c r="E443" s="37" t="s">
        <v>360</v>
      </c>
      <c r="F443" s="37" t="s">
        <v>361</v>
      </c>
      <c r="G443" s="37">
        <v>1433</v>
      </c>
      <c r="H443" s="37">
        <v>452</v>
      </c>
      <c r="I443" s="37">
        <v>305</v>
      </c>
      <c r="J443" s="37">
        <v>54541</v>
      </c>
      <c r="K443" s="37">
        <v>63700</v>
      </c>
      <c r="L443" s="37">
        <v>296</v>
      </c>
      <c r="M443" s="37" t="s">
        <v>16</v>
      </c>
      <c r="N443" s="45">
        <v>4.0153279184466699E-2</v>
      </c>
      <c r="O443" s="39" t="s">
        <v>19</v>
      </c>
    </row>
    <row r="444" spans="1:15" x14ac:dyDescent="0.3">
      <c r="A444" s="32" t="s">
        <v>245</v>
      </c>
      <c r="B444" s="33" t="s">
        <v>22</v>
      </c>
      <c r="C444" s="34">
        <v>45827</v>
      </c>
      <c r="D444" s="33" t="s">
        <v>23</v>
      </c>
      <c r="E444" s="33" t="s">
        <v>360</v>
      </c>
      <c r="F444" s="33" t="s">
        <v>361</v>
      </c>
      <c r="G444" s="33">
        <v>1433</v>
      </c>
      <c r="H444" s="33">
        <v>452</v>
      </c>
      <c r="I444" s="33">
        <v>305</v>
      </c>
      <c r="J444" s="33">
        <v>54541</v>
      </c>
      <c r="K444" s="33">
        <v>63700</v>
      </c>
      <c r="L444" s="33">
        <v>296</v>
      </c>
      <c r="M444" s="33" t="s">
        <v>16</v>
      </c>
      <c r="N444" s="44">
        <v>4.0153279184466699E-2</v>
      </c>
      <c r="O444" s="35" t="s">
        <v>355</v>
      </c>
    </row>
    <row r="445" spans="1:15" x14ac:dyDescent="0.3">
      <c r="A445" s="36" t="s">
        <v>77</v>
      </c>
      <c r="B445" s="37" t="s">
        <v>13</v>
      </c>
      <c r="C445" s="38">
        <v>45541</v>
      </c>
      <c r="D445" s="37" t="s">
        <v>14</v>
      </c>
      <c r="E445" s="37" t="s">
        <v>24</v>
      </c>
      <c r="F445" s="37"/>
      <c r="G445" s="37">
        <v>1452</v>
      </c>
      <c r="H445" s="37">
        <v>281</v>
      </c>
      <c r="I445" s="37">
        <v>326</v>
      </c>
      <c r="J445" s="37">
        <v>51556</v>
      </c>
      <c r="K445" s="37">
        <v>62599</v>
      </c>
      <c r="L445" s="37">
        <v>290</v>
      </c>
      <c r="M445" s="37" t="s">
        <v>20</v>
      </c>
      <c r="N445" s="45">
        <v>3.9937155714174902E-2</v>
      </c>
      <c r="O445" s="39" t="s">
        <v>19</v>
      </c>
    </row>
    <row r="446" spans="1:15" x14ac:dyDescent="0.3">
      <c r="A446" s="32" t="s">
        <v>72</v>
      </c>
      <c r="B446" s="33" t="s">
        <v>13</v>
      </c>
      <c r="C446" s="34">
        <v>45621</v>
      </c>
      <c r="D446" s="33" t="s">
        <v>14</v>
      </c>
      <c r="E446" s="33" t="s">
        <v>43</v>
      </c>
      <c r="F446" s="33"/>
      <c r="G446" s="33">
        <v>1341</v>
      </c>
      <c r="H446" s="33">
        <v>472</v>
      </c>
      <c r="I446" s="33">
        <v>238</v>
      </c>
      <c r="J446" s="33">
        <v>51386</v>
      </c>
      <c r="K446" s="33">
        <v>51706</v>
      </c>
      <c r="L446" s="33">
        <v>133</v>
      </c>
      <c r="M446" s="33" t="s">
        <v>20</v>
      </c>
      <c r="N446" s="44">
        <v>3.9913595142645898E-2</v>
      </c>
      <c r="O446" s="35" t="s">
        <v>19</v>
      </c>
    </row>
    <row r="447" spans="1:15" x14ac:dyDescent="0.3">
      <c r="A447" s="36" t="s">
        <v>146</v>
      </c>
      <c r="B447" s="37" t="s">
        <v>13</v>
      </c>
      <c r="C447" s="38">
        <v>45544</v>
      </c>
      <c r="D447" s="37" t="s">
        <v>14</v>
      </c>
      <c r="E447" s="37" t="s">
        <v>24</v>
      </c>
      <c r="F447" s="37"/>
      <c r="G447" s="37">
        <v>1616</v>
      </c>
      <c r="H447" s="37">
        <v>360</v>
      </c>
      <c r="I447" s="37">
        <v>180</v>
      </c>
      <c r="J447" s="37">
        <v>54342</v>
      </c>
      <c r="K447" s="37">
        <v>18796</v>
      </c>
      <c r="L447" s="37">
        <v>282</v>
      </c>
      <c r="M447" s="37" t="s">
        <v>16</v>
      </c>
      <c r="N447" s="45">
        <v>3.9674653122814797E-2</v>
      </c>
      <c r="O447" s="39" t="s">
        <v>39</v>
      </c>
    </row>
    <row r="448" spans="1:15" x14ac:dyDescent="0.3">
      <c r="A448" s="32" t="s">
        <v>146</v>
      </c>
      <c r="B448" s="33" t="s">
        <v>13</v>
      </c>
      <c r="C448" s="34">
        <v>45544</v>
      </c>
      <c r="D448" s="33" t="s">
        <v>14</v>
      </c>
      <c r="E448" s="33" t="s">
        <v>24</v>
      </c>
      <c r="F448" s="33"/>
      <c r="G448" s="33">
        <v>1616</v>
      </c>
      <c r="H448" s="33">
        <v>360</v>
      </c>
      <c r="I448" s="33">
        <v>180</v>
      </c>
      <c r="J448" s="33">
        <v>54342</v>
      </c>
      <c r="K448" s="33">
        <v>18796</v>
      </c>
      <c r="L448" s="33">
        <v>282</v>
      </c>
      <c r="M448" s="33" t="s">
        <v>16</v>
      </c>
      <c r="N448" s="44">
        <v>3.9674653122814797E-2</v>
      </c>
      <c r="O448" s="35" t="s">
        <v>36</v>
      </c>
    </row>
    <row r="449" spans="1:15" x14ac:dyDescent="0.3">
      <c r="A449" s="36" t="s">
        <v>241</v>
      </c>
      <c r="B449" s="37" t="s">
        <v>22</v>
      </c>
      <c r="C449" s="38">
        <v>45754</v>
      </c>
      <c r="D449" s="37" t="s">
        <v>14</v>
      </c>
      <c r="E449" s="37" t="s">
        <v>43</v>
      </c>
      <c r="F449" s="37"/>
      <c r="G449" s="37">
        <v>1403</v>
      </c>
      <c r="H449" s="37">
        <v>385</v>
      </c>
      <c r="I449" s="37">
        <v>344</v>
      </c>
      <c r="J449" s="37">
        <v>54223</v>
      </c>
      <c r="K449" s="37">
        <v>72595</v>
      </c>
      <c r="L449" s="37">
        <v>239</v>
      </c>
      <c r="M449" s="37" t="s">
        <v>20</v>
      </c>
      <c r="N449" s="45">
        <v>3.9319108127547402E-2</v>
      </c>
      <c r="O449" s="39" t="s">
        <v>39</v>
      </c>
    </row>
    <row r="450" spans="1:15" x14ac:dyDescent="0.3">
      <c r="A450" s="32" t="s">
        <v>71</v>
      </c>
      <c r="B450" s="33" t="s">
        <v>13</v>
      </c>
      <c r="C450" s="34">
        <v>45545</v>
      </c>
      <c r="D450" s="33" t="s">
        <v>23</v>
      </c>
      <c r="E450" s="33" t="s">
        <v>24</v>
      </c>
      <c r="F450" s="33"/>
      <c r="G450" s="33">
        <v>1230</v>
      </c>
      <c r="H450" s="33">
        <v>309</v>
      </c>
      <c r="I450" s="33">
        <v>207</v>
      </c>
      <c r="J450" s="33">
        <v>44629</v>
      </c>
      <c r="K450" s="33">
        <v>40699</v>
      </c>
      <c r="L450" s="33">
        <v>195</v>
      </c>
      <c r="M450" s="33" t="s">
        <v>49</v>
      </c>
      <c r="N450" s="44">
        <v>3.9122543637545103E-2</v>
      </c>
      <c r="O450" s="35" t="s">
        <v>36</v>
      </c>
    </row>
    <row r="451" spans="1:15" x14ac:dyDescent="0.3">
      <c r="A451" s="36" t="s">
        <v>189</v>
      </c>
      <c r="B451" s="37" t="s">
        <v>28</v>
      </c>
      <c r="C451" s="38">
        <v>45538</v>
      </c>
      <c r="D451" s="37" t="s">
        <v>51</v>
      </c>
      <c r="E451" s="37" t="s">
        <v>360</v>
      </c>
      <c r="F451" s="37" t="s">
        <v>361</v>
      </c>
      <c r="G451" s="37">
        <v>1437</v>
      </c>
      <c r="H451" s="37">
        <v>494</v>
      </c>
      <c r="I451" s="37">
        <v>129</v>
      </c>
      <c r="J451" s="37">
        <v>53048</v>
      </c>
      <c r="K451" s="37">
        <v>44090</v>
      </c>
      <c r="L451" s="37">
        <v>230</v>
      </c>
      <c r="M451" s="37" t="s">
        <v>52</v>
      </c>
      <c r="N451" s="45">
        <v>3.8832755240536899E-2</v>
      </c>
      <c r="O451" s="39" t="s">
        <v>19</v>
      </c>
    </row>
    <row r="452" spans="1:15" x14ac:dyDescent="0.3">
      <c r="A452" s="32" t="s">
        <v>189</v>
      </c>
      <c r="B452" s="33" t="s">
        <v>28</v>
      </c>
      <c r="C452" s="34">
        <v>45538</v>
      </c>
      <c r="D452" s="33" t="s">
        <v>51</v>
      </c>
      <c r="E452" s="33" t="s">
        <v>360</v>
      </c>
      <c r="F452" s="33" t="s">
        <v>361</v>
      </c>
      <c r="G452" s="33">
        <v>1437</v>
      </c>
      <c r="H452" s="33">
        <v>494</v>
      </c>
      <c r="I452" s="33">
        <v>129</v>
      </c>
      <c r="J452" s="33">
        <v>53048</v>
      </c>
      <c r="K452" s="33">
        <v>44090</v>
      </c>
      <c r="L452" s="33">
        <v>230</v>
      </c>
      <c r="M452" s="33" t="s">
        <v>52</v>
      </c>
      <c r="N452" s="44">
        <v>3.8832755240536899E-2</v>
      </c>
      <c r="O452" s="35" t="s">
        <v>39</v>
      </c>
    </row>
    <row r="453" spans="1:15" x14ac:dyDescent="0.3">
      <c r="A453" s="36" t="s">
        <v>96</v>
      </c>
      <c r="B453" s="37" t="s">
        <v>22</v>
      </c>
      <c r="C453" s="38">
        <v>45480</v>
      </c>
      <c r="D453" s="37" t="s">
        <v>14</v>
      </c>
      <c r="E453" s="37" t="s">
        <v>24</v>
      </c>
      <c r="F453" s="37"/>
      <c r="G453" s="37">
        <v>1035</v>
      </c>
      <c r="H453" s="37">
        <v>137</v>
      </c>
      <c r="I453" s="37">
        <v>184</v>
      </c>
      <c r="J453" s="37">
        <v>37302</v>
      </c>
      <c r="K453" s="37">
        <v>68953</v>
      </c>
      <c r="L453" s="37">
        <v>237</v>
      </c>
      <c r="M453" s="37" t="s">
        <v>20</v>
      </c>
      <c r="N453" s="45">
        <v>3.6351938233874899E-2</v>
      </c>
      <c r="O453" s="39" t="s">
        <v>39</v>
      </c>
    </row>
    <row r="454" spans="1:15" x14ac:dyDescent="0.3">
      <c r="A454" s="32" t="s">
        <v>155</v>
      </c>
      <c r="B454" s="33" t="s">
        <v>22</v>
      </c>
      <c r="C454" s="34">
        <v>45346</v>
      </c>
      <c r="D454" s="33" t="s">
        <v>23</v>
      </c>
      <c r="E454" s="33" t="s">
        <v>29</v>
      </c>
      <c r="F454" s="33"/>
      <c r="G454" s="33">
        <v>1022</v>
      </c>
      <c r="H454" s="33">
        <v>463</v>
      </c>
      <c r="I454" s="33">
        <v>360</v>
      </c>
      <c r="J454" s="33">
        <v>51468</v>
      </c>
      <c r="K454" s="33">
        <v>24279</v>
      </c>
      <c r="L454" s="33">
        <v>230</v>
      </c>
      <c r="M454" s="33" t="s">
        <v>16</v>
      </c>
      <c r="N454" s="44">
        <v>3.5847516903707202E-2</v>
      </c>
      <c r="O454" s="35" t="s">
        <v>19</v>
      </c>
    </row>
    <row r="455" spans="1:15" x14ac:dyDescent="0.3">
      <c r="A455" s="36" t="s">
        <v>155</v>
      </c>
      <c r="B455" s="37" t="s">
        <v>22</v>
      </c>
      <c r="C455" s="38">
        <v>45346</v>
      </c>
      <c r="D455" s="37" t="s">
        <v>23</v>
      </c>
      <c r="E455" s="37" t="s">
        <v>29</v>
      </c>
      <c r="F455" s="37"/>
      <c r="G455" s="37">
        <v>1022</v>
      </c>
      <c r="H455" s="37">
        <v>463</v>
      </c>
      <c r="I455" s="37">
        <v>360</v>
      </c>
      <c r="J455" s="37">
        <v>51468</v>
      </c>
      <c r="K455" s="37">
        <v>24279</v>
      </c>
      <c r="L455" s="37">
        <v>230</v>
      </c>
      <c r="M455" s="37" t="s">
        <v>16</v>
      </c>
      <c r="N455" s="45">
        <v>3.5847516903707202E-2</v>
      </c>
      <c r="O455" s="39" t="s">
        <v>355</v>
      </c>
    </row>
    <row r="456" spans="1:15" x14ac:dyDescent="0.3">
      <c r="A456" s="32" t="s">
        <v>230</v>
      </c>
      <c r="B456" s="33" t="s">
        <v>28</v>
      </c>
      <c r="C456" s="34">
        <v>45634</v>
      </c>
      <c r="D456" s="33" t="s">
        <v>14</v>
      </c>
      <c r="E456" s="33" t="s">
        <v>35</v>
      </c>
      <c r="F456" s="33"/>
      <c r="G456" s="33">
        <v>1424</v>
      </c>
      <c r="H456" s="33">
        <v>396</v>
      </c>
      <c r="I456" s="33">
        <v>312</v>
      </c>
      <c r="J456" s="33">
        <v>59517</v>
      </c>
      <c r="K456" s="33">
        <v>46102</v>
      </c>
      <c r="L456" s="33">
        <v>239</v>
      </c>
      <c r="M456" s="33" t="s">
        <v>20</v>
      </c>
      <c r="N456" s="44">
        <v>3.5821698002251497E-2</v>
      </c>
      <c r="O456" s="35" t="s">
        <v>19</v>
      </c>
    </row>
    <row r="457" spans="1:15" x14ac:dyDescent="0.3">
      <c r="A457" s="36" t="s">
        <v>230</v>
      </c>
      <c r="B457" s="37" t="s">
        <v>28</v>
      </c>
      <c r="C457" s="38">
        <v>45634</v>
      </c>
      <c r="D457" s="37" t="s">
        <v>14</v>
      </c>
      <c r="E457" s="37" t="s">
        <v>35</v>
      </c>
      <c r="F457" s="37"/>
      <c r="G457" s="37">
        <v>1424</v>
      </c>
      <c r="H457" s="37">
        <v>396</v>
      </c>
      <c r="I457" s="37">
        <v>312</v>
      </c>
      <c r="J457" s="37">
        <v>59517</v>
      </c>
      <c r="K457" s="37">
        <v>46102</v>
      </c>
      <c r="L457" s="37">
        <v>239</v>
      </c>
      <c r="M457" s="37" t="s">
        <v>20</v>
      </c>
      <c r="N457" s="45">
        <v>3.5821698002251497E-2</v>
      </c>
      <c r="O457" s="39" t="s">
        <v>354</v>
      </c>
    </row>
    <row r="458" spans="1:15" x14ac:dyDescent="0.3">
      <c r="A458" s="32" t="s">
        <v>98</v>
      </c>
      <c r="B458" s="33" t="s">
        <v>28</v>
      </c>
      <c r="C458" s="34">
        <v>45438</v>
      </c>
      <c r="D458" s="33" t="s">
        <v>14</v>
      </c>
      <c r="E458" s="33" t="s">
        <v>43</v>
      </c>
      <c r="F458" s="33"/>
      <c r="G458" s="33">
        <v>1488</v>
      </c>
      <c r="H458" s="33">
        <v>327</v>
      </c>
      <c r="I458" s="33">
        <v>110</v>
      </c>
      <c r="J458" s="33">
        <v>53805</v>
      </c>
      <c r="K458" s="33">
        <v>30239</v>
      </c>
      <c r="L458" s="33">
        <v>109</v>
      </c>
      <c r="M458" s="33" t="s">
        <v>20</v>
      </c>
      <c r="N458" s="44">
        <v>3.5777344113000598E-2</v>
      </c>
      <c r="O458" s="35" t="s">
        <v>19</v>
      </c>
    </row>
    <row r="459" spans="1:15" x14ac:dyDescent="0.3">
      <c r="A459" s="36" t="s">
        <v>98</v>
      </c>
      <c r="B459" s="37" t="s">
        <v>28</v>
      </c>
      <c r="C459" s="38">
        <v>45438</v>
      </c>
      <c r="D459" s="37" t="s">
        <v>14</v>
      </c>
      <c r="E459" s="37" t="s">
        <v>43</v>
      </c>
      <c r="F459" s="37"/>
      <c r="G459" s="37">
        <v>1488</v>
      </c>
      <c r="H459" s="37">
        <v>327</v>
      </c>
      <c r="I459" s="37">
        <v>110</v>
      </c>
      <c r="J459" s="37">
        <v>53805</v>
      </c>
      <c r="K459" s="37">
        <v>30239</v>
      </c>
      <c r="L459" s="37">
        <v>109</v>
      </c>
      <c r="M459" s="37" t="s">
        <v>20</v>
      </c>
      <c r="N459" s="45">
        <v>3.5777344113000598E-2</v>
      </c>
      <c r="O459" s="39" t="s">
        <v>354</v>
      </c>
    </row>
    <row r="460" spans="1:15" x14ac:dyDescent="0.3">
      <c r="A460" s="32" t="s">
        <v>197</v>
      </c>
      <c r="B460" s="33" t="s">
        <v>13</v>
      </c>
      <c r="C460" s="34">
        <v>45835</v>
      </c>
      <c r="D460" s="33" t="s">
        <v>23</v>
      </c>
      <c r="E460" s="33" t="s">
        <v>360</v>
      </c>
      <c r="F460" s="33" t="s">
        <v>361</v>
      </c>
      <c r="G460" s="33">
        <v>1342</v>
      </c>
      <c r="H460" s="33">
        <v>332</v>
      </c>
      <c r="I460" s="33">
        <v>163</v>
      </c>
      <c r="J460" s="33">
        <v>51712</v>
      </c>
      <c r="K460" s="33">
        <v>57922</v>
      </c>
      <c r="L460" s="33">
        <v>168</v>
      </c>
      <c r="M460" s="33" t="s">
        <v>49</v>
      </c>
      <c r="N460" s="44">
        <v>3.5523669554455399E-2</v>
      </c>
      <c r="O460" s="35" t="s">
        <v>36</v>
      </c>
    </row>
    <row r="461" spans="1:15" x14ac:dyDescent="0.3">
      <c r="A461" s="36" t="s">
        <v>231</v>
      </c>
      <c r="B461" s="37" t="s">
        <v>22</v>
      </c>
      <c r="C461" s="38">
        <v>45689</v>
      </c>
      <c r="D461" s="37" t="s">
        <v>23</v>
      </c>
      <c r="E461" s="37" t="s">
        <v>35</v>
      </c>
      <c r="F461" s="37"/>
      <c r="G461" s="37">
        <v>1079</v>
      </c>
      <c r="H461" s="37">
        <v>265</v>
      </c>
      <c r="I461" s="37">
        <v>190</v>
      </c>
      <c r="J461" s="37">
        <v>43786</v>
      </c>
      <c r="K461" s="37">
        <v>72428</v>
      </c>
      <c r="L461" s="37">
        <v>222</v>
      </c>
      <c r="M461" s="37" t="s">
        <v>16</v>
      </c>
      <c r="N461" s="45">
        <v>3.5034029141734799E-2</v>
      </c>
      <c r="O461" s="39" t="s">
        <v>39</v>
      </c>
    </row>
    <row r="462" spans="1:15" x14ac:dyDescent="0.3">
      <c r="A462" s="32" t="s">
        <v>231</v>
      </c>
      <c r="B462" s="33" t="s">
        <v>22</v>
      </c>
      <c r="C462" s="34">
        <v>45689</v>
      </c>
      <c r="D462" s="33" t="s">
        <v>23</v>
      </c>
      <c r="E462" s="33" t="s">
        <v>35</v>
      </c>
      <c r="F462" s="33"/>
      <c r="G462" s="33">
        <v>1079</v>
      </c>
      <c r="H462" s="33">
        <v>265</v>
      </c>
      <c r="I462" s="33">
        <v>190</v>
      </c>
      <c r="J462" s="33">
        <v>43786</v>
      </c>
      <c r="K462" s="33">
        <v>72428</v>
      </c>
      <c r="L462" s="33">
        <v>222</v>
      </c>
      <c r="M462" s="33" t="s">
        <v>16</v>
      </c>
      <c r="N462" s="44">
        <v>3.5034029141734799E-2</v>
      </c>
      <c r="O462" s="35" t="s">
        <v>36</v>
      </c>
    </row>
    <row r="463" spans="1:15" x14ac:dyDescent="0.3">
      <c r="A463" s="36" t="s">
        <v>150</v>
      </c>
      <c r="B463" s="37" t="s">
        <v>13</v>
      </c>
      <c r="C463" s="38">
        <v>45340</v>
      </c>
      <c r="D463" s="37" t="s">
        <v>23</v>
      </c>
      <c r="E463" s="37" t="s">
        <v>43</v>
      </c>
      <c r="F463" s="37"/>
      <c r="G463" s="37">
        <v>1516</v>
      </c>
      <c r="H463" s="37">
        <v>215</v>
      </c>
      <c r="I463" s="37">
        <v>332</v>
      </c>
      <c r="J463" s="37">
        <v>58981</v>
      </c>
      <c r="K463" s="37">
        <v>36118</v>
      </c>
      <c r="L463" s="37">
        <v>211</v>
      </c>
      <c r="M463" s="37" t="s">
        <v>49</v>
      </c>
      <c r="N463" s="45">
        <v>3.4977365592309399E-2</v>
      </c>
      <c r="O463" s="39" t="s">
        <v>36</v>
      </c>
    </row>
    <row r="464" spans="1:15" x14ac:dyDescent="0.3">
      <c r="A464" s="32" t="s">
        <v>160</v>
      </c>
      <c r="B464" s="33" t="s">
        <v>22</v>
      </c>
      <c r="C464" s="34">
        <v>45319</v>
      </c>
      <c r="D464" s="33" t="s">
        <v>14</v>
      </c>
      <c r="E464" s="33" t="s">
        <v>29</v>
      </c>
      <c r="F464" s="33"/>
      <c r="G464" s="33">
        <v>1456</v>
      </c>
      <c r="H464" s="33">
        <v>265</v>
      </c>
      <c r="I464" s="33">
        <v>137</v>
      </c>
      <c r="J464" s="33">
        <v>53485</v>
      </c>
      <c r="K464" s="33">
        <v>59729</v>
      </c>
      <c r="L464" s="33">
        <v>145</v>
      </c>
      <c r="M464" s="33" t="s">
        <v>20</v>
      </c>
      <c r="N464" s="44">
        <v>3.4738711788351903E-2</v>
      </c>
      <c r="O464" s="35" t="s">
        <v>39</v>
      </c>
    </row>
    <row r="465" spans="1:15" x14ac:dyDescent="0.3">
      <c r="A465" s="36" t="s">
        <v>318</v>
      </c>
      <c r="B465" s="37" t="s">
        <v>28</v>
      </c>
      <c r="C465" s="38">
        <v>45686</v>
      </c>
      <c r="D465" s="37" t="s">
        <v>14</v>
      </c>
      <c r="E465" s="37" t="s">
        <v>24</v>
      </c>
      <c r="F465" s="37"/>
      <c r="G465" s="37">
        <v>1334</v>
      </c>
      <c r="H465" s="37">
        <v>357</v>
      </c>
      <c r="I465" s="37">
        <v>257</v>
      </c>
      <c r="J465" s="37">
        <v>56910</v>
      </c>
      <c r="K465" s="37">
        <v>70606</v>
      </c>
      <c r="L465" s="37">
        <v>228</v>
      </c>
      <c r="M465" s="37" t="s">
        <v>20</v>
      </c>
      <c r="N465" s="45">
        <v>3.42294851519944E-2</v>
      </c>
      <c r="O465" s="39" t="s">
        <v>19</v>
      </c>
    </row>
    <row r="466" spans="1:15" x14ac:dyDescent="0.3">
      <c r="A466" s="32" t="s">
        <v>318</v>
      </c>
      <c r="B466" s="33" t="s">
        <v>28</v>
      </c>
      <c r="C466" s="34">
        <v>45686</v>
      </c>
      <c r="D466" s="33" t="s">
        <v>14</v>
      </c>
      <c r="E466" s="33" t="s">
        <v>24</v>
      </c>
      <c r="F466" s="33"/>
      <c r="G466" s="33">
        <v>1334</v>
      </c>
      <c r="H466" s="33">
        <v>357</v>
      </c>
      <c r="I466" s="33">
        <v>257</v>
      </c>
      <c r="J466" s="33">
        <v>56910</v>
      </c>
      <c r="K466" s="33">
        <v>70606</v>
      </c>
      <c r="L466" s="33">
        <v>228</v>
      </c>
      <c r="M466" s="33" t="s">
        <v>20</v>
      </c>
      <c r="N466" s="44">
        <v>3.42294851519944E-2</v>
      </c>
      <c r="O466" s="35" t="s">
        <v>354</v>
      </c>
    </row>
    <row r="467" spans="1:15" x14ac:dyDescent="0.3">
      <c r="A467" s="36" t="s">
        <v>243</v>
      </c>
      <c r="B467" s="37" t="s">
        <v>22</v>
      </c>
      <c r="C467" s="38">
        <v>45780</v>
      </c>
      <c r="D467" s="37" t="s">
        <v>23</v>
      </c>
      <c r="E467" s="37" t="s">
        <v>35</v>
      </c>
      <c r="F467" s="37"/>
      <c r="G467" s="37">
        <v>1010</v>
      </c>
      <c r="H467" s="37">
        <v>361</v>
      </c>
      <c r="I467" s="37">
        <v>240</v>
      </c>
      <c r="J467" s="37">
        <v>47229</v>
      </c>
      <c r="K467" s="37">
        <v>72573</v>
      </c>
      <c r="L467" s="37">
        <v>275</v>
      </c>
      <c r="M467" s="37" t="s">
        <v>16</v>
      </c>
      <c r="N467" s="45">
        <v>3.4110398272248002E-2</v>
      </c>
      <c r="O467" s="39" t="s">
        <v>39</v>
      </c>
    </row>
    <row r="468" spans="1:15" x14ac:dyDescent="0.3">
      <c r="A468" s="32" t="s">
        <v>243</v>
      </c>
      <c r="B468" s="33" t="s">
        <v>22</v>
      </c>
      <c r="C468" s="34">
        <v>45780</v>
      </c>
      <c r="D468" s="33" t="s">
        <v>23</v>
      </c>
      <c r="E468" s="33" t="s">
        <v>35</v>
      </c>
      <c r="F468" s="33"/>
      <c r="G468" s="33">
        <v>1010</v>
      </c>
      <c r="H468" s="33">
        <v>361</v>
      </c>
      <c r="I468" s="33">
        <v>240</v>
      </c>
      <c r="J468" s="33">
        <v>47229</v>
      </c>
      <c r="K468" s="33">
        <v>72573</v>
      </c>
      <c r="L468" s="33">
        <v>275</v>
      </c>
      <c r="M468" s="33" t="s">
        <v>16</v>
      </c>
      <c r="N468" s="44">
        <v>3.4110398272248002E-2</v>
      </c>
      <c r="O468" s="35" t="s">
        <v>36</v>
      </c>
    </row>
    <row r="469" spans="1:15" x14ac:dyDescent="0.3">
      <c r="A469" s="36" t="s">
        <v>291</v>
      </c>
      <c r="B469" s="37" t="s">
        <v>28</v>
      </c>
      <c r="C469" s="38">
        <v>45736</v>
      </c>
      <c r="D469" s="37" t="s">
        <v>51</v>
      </c>
      <c r="E469" s="37" t="s">
        <v>43</v>
      </c>
      <c r="F469" s="37"/>
      <c r="G469" s="37">
        <v>1453</v>
      </c>
      <c r="H469" s="37">
        <v>156</v>
      </c>
      <c r="I469" s="37">
        <v>178</v>
      </c>
      <c r="J469" s="37">
        <v>52980</v>
      </c>
      <c r="K469" s="37">
        <v>57180</v>
      </c>
      <c r="L469" s="37">
        <v>286</v>
      </c>
      <c r="M469" s="37" t="s">
        <v>52</v>
      </c>
      <c r="N469" s="45">
        <v>3.3729709324273299E-2</v>
      </c>
      <c r="O469" s="39" t="s">
        <v>19</v>
      </c>
    </row>
    <row r="470" spans="1:15" x14ac:dyDescent="0.3">
      <c r="A470" s="32" t="s">
        <v>291</v>
      </c>
      <c r="B470" s="33" t="s">
        <v>28</v>
      </c>
      <c r="C470" s="34">
        <v>45736</v>
      </c>
      <c r="D470" s="33" t="s">
        <v>51</v>
      </c>
      <c r="E470" s="33" t="s">
        <v>43</v>
      </c>
      <c r="F470" s="33"/>
      <c r="G470" s="33">
        <v>1453</v>
      </c>
      <c r="H470" s="33">
        <v>156</v>
      </c>
      <c r="I470" s="33">
        <v>178</v>
      </c>
      <c r="J470" s="33">
        <v>52980</v>
      </c>
      <c r="K470" s="33">
        <v>57180</v>
      </c>
      <c r="L470" s="33">
        <v>286</v>
      </c>
      <c r="M470" s="33" t="s">
        <v>52</v>
      </c>
      <c r="N470" s="44">
        <v>3.3729709324273299E-2</v>
      </c>
      <c r="O470" s="35" t="s">
        <v>39</v>
      </c>
    </row>
    <row r="471" spans="1:15" x14ac:dyDescent="0.3">
      <c r="A471" s="36" t="s">
        <v>303</v>
      </c>
      <c r="B471" s="37" t="s">
        <v>22</v>
      </c>
      <c r="C471" s="38">
        <v>45609</v>
      </c>
      <c r="D471" s="37" t="s">
        <v>23</v>
      </c>
      <c r="E471" s="37" t="s">
        <v>24</v>
      </c>
      <c r="F471" s="37"/>
      <c r="G471" s="37">
        <v>1409</v>
      </c>
      <c r="H471" s="37">
        <v>466</v>
      </c>
      <c r="I471" s="37">
        <v>105</v>
      </c>
      <c r="J471" s="37">
        <v>58923</v>
      </c>
      <c r="K471" s="37">
        <v>38753</v>
      </c>
      <c r="L471" s="37">
        <v>265</v>
      </c>
      <c r="M471" s="37" t="s">
        <v>16</v>
      </c>
      <c r="N471" s="45">
        <v>3.3603177027646203E-2</v>
      </c>
      <c r="O471" s="39" t="s">
        <v>19</v>
      </c>
    </row>
    <row r="472" spans="1:15" x14ac:dyDescent="0.3">
      <c r="A472" s="32" t="s">
        <v>303</v>
      </c>
      <c r="B472" s="33" t="s">
        <v>22</v>
      </c>
      <c r="C472" s="34">
        <v>45609</v>
      </c>
      <c r="D472" s="33" t="s">
        <v>23</v>
      </c>
      <c r="E472" s="33" t="s">
        <v>24</v>
      </c>
      <c r="F472" s="33"/>
      <c r="G472" s="33">
        <v>1409</v>
      </c>
      <c r="H472" s="33">
        <v>466</v>
      </c>
      <c r="I472" s="33">
        <v>105</v>
      </c>
      <c r="J472" s="33">
        <v>58923</v>
      </c>
      <c r="K472" s="33">
        <v>38753</v>
      </c>
      <c r="L472" s="33">
        <v>265</v>
      </c>
      <c r="M472" s="33" t="s">
        <v>16</v>
      </c>
      <c r="N472" s="44">
        <v>3.3603177027646203E-2</v>
      </c>
      <c r="O472" s="35" t="s">
        <v>355</v>
      </c>
    </row>
    <row r="473" spans="1:15" x14ac:dyDescent="0.3">
      <c r="A473" s="36" t="s">
        <v>327</v>
      </c>
      <c r="B473" s="37" t="s">
        <v>13</v>
      </c>
      <c r="C473" s="38">
        <v>45653</v>
      </c>
      <c r="D473" s="37" t="s">
        <v>14</v>
      </c>
      <c r="E473" s="37" t="s">
        <v>43</v>
      </c>
      <c r="F473" s="37"/>
      <c r="G473" s="37">
        <v>1436</v>
      </c>
      <c r="H473" s="37">
        <v>219</v>
      </c>
      <c r="I473" s="37">
        <v>229</v>
      </c>
      <c r="J473" s="37">
        <v>58488</v>
      </c>
      <c r="K473" s="37">
        <v>24314</v>
      </c>
      <c r="L473" s="37">
        <v>147</v>
      </c>
      <c r="M473" s="37" t="s">
        <v>20</v>
      </c>
      <c r="N473" s="45">
        <v>3.2211735740664799E-2</v>
      </c>
      <c r="O473" s="39" t="s">
        <v>19</v>
      </c>
    </row>
    <row r="474" spans="1:15" x14ac:dyDescent="0.3">
      <c r="A474" s="32" t="s">
        <v>261</v>
      </c>
      <c r="B474" s="33" t="s">
        <v>28</v>
      </c>
      <c r="C474" s="34">
        <v>45442</v>
      </c>
      <c r="D474" s="33" t="s">
        <v>51</v>
      </c>
      <c r="E474" s="33" t="s">
        <v>360</v>
      </c>
      <c r="F474" s="33" t="s">
        <v>361</v>
      </c>
      <c r="G474" s="33">
        <v>1060</v>
      </c>
      <c r="H474" s="33">
        <v>442</v>
      </c>
      <c r="I474" s="33">
        <v>319</v>
      </c>
      <c r="J474" s="33">
        <v>57194</v>
      </c>
      <c r="K474" s="33">
        <v>24258</v>
      </c>
      <c r="L474" s="33">
        <v>101</v>
      </c>
      <c r="M474" s="33" t="s">
        <v>52</v>
      </c>
      <c r="N474" s="44">
        <v>3.1839004091338302E-2</v>
      </c>
      <c r="O474" s="35" t="s">
        <v>19</v>
      </c>
    </row>
    <row r="475" spans="1:15" x14ac:dyDescent="0.3">
      <c r="A475" s="36" t="s">
        <v>261</v>
      </c>
      <c r="B475" s="37" t="s">
        <v>28</v>
      </c>
      <c r="C475" s="38">
        <v>45442</v>
      </c>
      <c r="D475" s="37" t="s">
        <v>51</v>
      </c>
      <c r="E475" s="37" t="s">
        <v>360</v>
      </c>
      <c r="F475" s="37" t="s">
        <v>361</v>
      </c>
      <c r="G475" s="37">
        <v>1060</v>
      </c>
      <c r="H475" s="37">
        <v>442</v>
      </c>
      <c r="I475" s="37">
        <v>319</v>
      </c>
      <c r="J475" s="37">
        <v>57194</v>
      </c>
      <c r="K475" s="37">
        <v>24258</v>
      </c>
      <c r="L475" s="37">
        <v>101</v>
      </c>
      <c r="M475" s="37" t="s">
        <v>52</v>
      </c>
      <c r="N475" s="45">
        <v>3.1839004091338302E-2</v>
      </c>
      <c r="O475" s="39" t="s">
        <v>39</v>
      </c>
    </row>
    <row r="476" spans="1:15" x14ac:dyDescent="0.3">
      <c r="A476" s="32" t="s">
        <v>244</v>
      </c>
      <c r="B476" s="33" t="s">
        <v>22</v>
      </c>
      <c r="C476" s="34">
        <v>45396</v>
      </c>
      <c r="D476" s="33" t="s">
        <v>23</v>
      </c>
      <c r="E476" s="33" t="s">
        <v>15</v>
      </c>
      <c r="F476" s="33"/>
      <c r="G476" s="33">
        <v>1295</v>
      </c>
      <c r="H476" s="33">
        <v>153</v>
      </c>
      <c r="I476" s="33">
        <v>81</v>
      </c>
      <c r="J476" s="33">
        <v>48350</v>
      </c>
      <c r="K476" s="33">
        <v>61033</v>
      </c>
      <c r="L476" s="33">
        <v>232</v>
      </c>
      <c r="M476" s="33" t="s">
        <v>16</v>
      </c>
      <c r="N476" s="44">
        <v>3.1623578076525299E-2</v>
      </c>
      <c r="O476" s="35" t="s">
        <v>19</v>
      </c>
    </row>
    <row r="477" spans="1:15" x14ac:dyDescent="0.3">
      <c r="A477" s="36" t="s">
        <v>244</v>
      </c>
      <c r="B477" s="37" t="s">
        <v>22</v>
      </c>
      <c r="C477" s="38">
        <v>45396</v>
      </c>
      <c r="D477" s="37" t="s">
        <v>23</v>
      </c>
      <c r="E477" s="37" t="s">
        <v>15</v>
      </c>
      <c r="F477" s="37"/>
      <c r="G477" s="37">
        <v>1295</v>
      </c>
      <c r="H477" s="37">
        <v>153</v>
      </c>
      <c r="I477" s="37">
        <v>81</v>
      </c>
      <c r="J477" s="37">
        <v>48350</v>
      </c>
      <c r="K477" s="37">
        <v>61033</v>
      </c>
      <c r="L477" s="37">
        <v>232</v>
      </c>
      <c r="M477" s="37" t="s">
        <v>16</v>
      </c>
      <c r="N477" s="45">
        <v>3.1623578076525299E-2</v>
      </c>
      <c r="O477" s="39" t="s">
        <v>355</v>
      </c>
    </row>
    <row r="478" spans="1:15" x14ac:dyDescent="0.3">
      <c r="A478" s="32" t="s">
        <v>256</v>
      </c>
      <c r="B478" s="33" t="s">
        <v>22</v>
      </c>
      <c r="C478" s="34">
        <v>45462</v>
      </c>
      <c r="D478" s="33" t="s">
        <v>14</v>
      </c>
      <c r="E478" s="33" t="s">
        <v>360</v>
      </c>
      <c r="F478" s="33" t="s">
        <v>361</v>
      </c>
      <c r="G478" s="33">
        <v>1224</v>
      </c>
      <c r="H478" s="33">
        <v>168</v>
      </c>
      <c r="I478" s="33">
        <v>199</v>
      </c>
      <c r="J478" s="33">
        <v>54232</v>
      </c>
      <c r="K478" s="33">
        <v>52844</v>
      </c>
      <c r="L478" s="33">
        <v>271</v>
      </c>
      <c r="M478" s="33" t="s">
        <v>20</v>
      </c>
      <c r="N478" s="44">
        <v>2.9336922849977898E-2</v>
      </c>
      <c r="O478" s="35" t="s">
        <v>39</v>
      </c>
    </row>
    <row r="479" spans="1:15" x14ac:dyDescent="0.3">
      <c r="A479" s="36" t="s">
        <v>163</v>
      </c>
      <c r="B479" s="37" t="s">
        <v>28</v>
      </c>
      <c r="C479" s="38">
        <v>45301</v>
      </c>
      <c r="D479" s="37" t="s">
        <v>14</v>
      </c>
      <c r="E479" s="37" t="s">
        <v>18</v>
      </c>
      <c r="F479" s="37"/>
      <c r="G479" s="37">
        <v>1261</v>
      </c>
      <c r="H479" s="37">
        <v>190</v>
      </c>
      <c r="I479" s="37">
        <v>233</v>
      </c>
      <c r="J479" s="37">
        <v>59888</v>
      </c>
      <c r="K479" s="37">
        <v>51449</v>
      </c>
      <c r="L479" s="37">
        <v>205</v>
      </c>
      <c r="M479" s="37" t="s">
        <v>20</v>
      </c>
      <c r="N479" s="45">
        <v>2.8119155757413802E-2</v>
      </c>
      <c r="O479" s="39" t="s">
        <v>19</v>
      </c>
    </row>
    <row r="480" spans="1:15" x14ac:dyDescent="0.3">
      <c r="A480" s="32" t="s">
        <v>163</v>
      </c>
      <c r="B480" s="33" t="s">
        <v>28</v>
      </c>
      <c r="C480" s="34">
        <v>45301</v>
      </c>
      <c r="D480" s="33" t="s">
        <v>14</v>
      </c>
      <c r="E480" s="33" t="s">
        <v>18</v>
      </c>
      <c r="F480" s="33"/>
      <c r="G480" s="33">
        <v>1261</v>
      </c>
      <c r="H480" s="33">
        <v>190</v>
      </c>
      <c r="I480" s="33">
        <v>233</v>
      </c>
      <c r="J480" s="33">
        <v>59888</v>
      </c>
      <c r="K480" s="33">
        <v>51449</v>
      </c>
      <c r="L480" s="33">
        <v>205</v>
      </c>
      <c r="M480" s="33" t="s">
        <v>20</v>
      </c>
      <c r="N480" s="44">
        <v>2.8119155757413802E-2</v>
      </c>
      <c r="O480" s="35" t="s">
        <v>354</v>
      </c>
    </row>
    <row r="481" spans="1:15" x14ac:dyDescent="0.3">
      <c r="A481" s="36" t="s">
        <v>171</v>
      </c>
      <c r="B481" s="37" t="s">
        <v>22</v>
      </c>
      <c r="C481" s="38">
        <v>45624</v>
      </c>
      <c r="D481" s="37" t="s">
        <v>23</v>
      </c>
      <c r="E481" s="37" t="s">
        <v>24</v>
      </c>
      <c r="F481" s="37"/>
      <c r="G481" s="37">
        <v>1131</v>
      </c>
      <c r="H481" s="37">
        <v>100</v>
      </c>
      <c r="I481" s="37">
        <v>116</v>
      </c>
      <c r="J481" s="37">
        <v>48437</v>
      </c>
      <c r="K481" s="37">
        <v>72704</v>
      </c>
      <c r="L481" s="37">
        <v>236</v>
      </c>
      <c r="M481" s="37" t="s">
        <v>16</v>
      </c>
      <c r="N481" s="45">
        <v>2.78093193220059E-2</v>
      </c>
      <c r="O481" s="39" t="s">
        <v>19</v>
      </c>
    </row>
    <row r="482" spans="1:15" x14ac:dyDescent="0.3">
      <c r="A482" s="32" t="s">
        <v>171</v>
      </c>
      <c r="B482" s="33" t="s">
        <v>22</v>
      </c>
      <c r="C482" s="34">
        <v>45624</v>
      </c>
      <c r="D482" s="33" t="s">
        <v>23</v>
      </c>
      <c r="E482" s="33" t="s">
        <v>24</v>
      </c>
      <c r="F482" s="33"/>
      <c r="G482" s="33">
        <v>1131</v>
      </c>
      <c r="H482" s="33">
        <v>100</v>
      </c>
      <c r="I482" s="33">
        <v>116</v>
      </c>
      <c r="J482" s="33">
        <v>48437</v>
      </c>
      <c r="K482" s="33">
        <v>72704</v>
      </c>
      <c r="L482" s="33">
        <v>236</v>
      </c>
      <c r="M482" s="33" t="s">
        <v>16</v>
      </c>
      <c r="N482" s="44">
        <v>2.78093193220059E-2</v>
      </c>
      <c r="O482" s="35" t="s">
        <v>355</v>
      </c>
    </row>
    <row r="483" spans="1:15" x14ac:dyDescent="0.3">
      <c r="A483" s="36" t="s">
        <v>92</v>
      </c>
      <c r="B483" s="37" t="s">
        <v>28</v>
      </c>
      <c r="C483" s="38">
        <v>45514</v>
      </c>
      <c r="D483" s="37" t="s">
        <v>14</v>
      </c>
      <c r="E483" s="37" t="s">
        <v>43</v>
      </c>
      <c r="F483" s="37"/>
      <c r="G483" s="37">
        <v>1105</v>
      </c>
      <c r="H483" s="37">
        <v>181</v>
      </c>
      <c r="I483" s="37">
        <v>55</v>
      </c>
      <c r="J483" s="37">
        <v>53581</v>
      </c>
      <c r="K483" s="37">
        <v>74048</v>
      </c>
      <c r="L483" s="37">
        <v>220</v>
      </c>
      <c r="M483" s="37" t="s">
        <v>20</v>
      </c>
      <c r="N483" s="45">
        <v>2.50275284149232E-2</v>
      </c>
      <c r="O483" s="39" t="s">
        <v>19</v>
      </c>
    </row>
    <row r="484" spans="1:15" x14ac:dyDescent="0.3">
      <c r="A484" s="40" t="s">
        <v>92</v>
      </c>
      <c r="B484" s="28" t="s">
        <v>28</v>
      </c>
      <c r="C484" s="41">
        <v>45514</v>
      </c>
      <c r="D484" s="28" t="s">
        <v>14</v>
      </c>
      <c r="E484" s="28" t="s">
        <v>43</v>
      </c>
      <c r="F484" s="28"/>
      <c r="G484" s="28">
        <v>1105</v>
      </c>
      <c r="H484" s="28">
        <v>181</v>
      </c>
      <c r="I484" s="28">
        <v>55</v>
      </c>
      <c r="J484" s="28">
        <v>53581</v>
      </c>
      <c r="K484" s="28">
        <v>74048</v>
      </c>
      <c r="L484" s="28">
        <v>220</v>
      </c>
      <c r="M484" s="28" t="s">
        <v>20</v>
      </c>
      <c r="N484" s="46">
        <v>2.50275284149232E-2</v>
      </c>
      <c r="O484" s="42" t="s">
        <v>354</v>
      </c>
    </row>
  </sheetData>
  <autoFilter ref="A1:O484" xr:uid="{6AE58E4B-5FBB-4460-A862-3FBD93FA61A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2741E7-A897-468C-B78D-FF7456ED56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Task6 Posts</vt:lpstr>
      <vt:lpstr>Task 6.1</vt:lpstr>
      <vt:lpstr>Task 6.2</vt:lpstr>
      <vt:lpstr>Task 6.3</vt:lpstr>
      <vt:lpstr>Dashboard</vt:lpstr>
      <vt:lpstr>task 6 Engagement Summary</vt:lpstr>
      <vt:lpstr>Campaign Metadata</vt:lpstr>
      <vt:lpstr>Post2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 JARIYAL</cp:lastModifiedBy>
  <dcterms:modified xsi:type="dcterms:W3CDTF">2025-09-14T07:30:20Z</dcterms:modified>
</cp:coreProperties>
</file>